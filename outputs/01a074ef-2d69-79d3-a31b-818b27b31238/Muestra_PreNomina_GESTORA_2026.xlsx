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NOMINA" sheetId="1" r:id="rId1"/>
    <sheet name="CONTROL_PENDIENTES" sheetId="2" r:id="rId2"/>
    <sheet name="MATRIZ_DIARIA_SABANA" sheetId="3" r:id="rId3"/>
    <sheet name="_GESTORA_TECNICA" sheetId="4" r:id="rId4" state="veryHidden"/>
  </sheets>
  <definedNames>
    <definedName name="_xlnm._FilterDatabase" localSheetId="0">'RESUMEN_NOMINA'!A5:AC60</definedName>
    <definedName name="_xlnm._FilterDatabase" localSheetId="1">'CONTROL_PENDIENTES'!A4:J8</definedName>
    <definedName name="_xlnm._FilterDatabase" localSheetId="2">'MATRIZ_DIARIA_SABANA'!A5:AJ60</definedName>
  </definedNames>
  <calcPr calcId="191029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9">
    <numFmt numFmtId="165" formatCode="#,##0;[Red]-#,##0"/>
    <numFmt numFmtId="166" formatCode="[h]:mm"/>
    <numFmt numFmtId="167" formatCode="&quot;$&quot;#,##0"/>
    <numFmt numFmtId="168" formatCode="[h]:mm"/>
    <numFmt numFmtId="169" formatCode="#,##0;[Red]-#,##0"/>
    <numFmt numFmtId="170" formatCode="#,##0;[Red]-#,##0"/>
    <numFmt numFmtId="171" formatCode="&quot;$&quot;#,##0"/>
    <numFmt numFmtId="172" formatCode="#,##0;[Red]-#,##0"/>
    <numFmt numFmtId="173" formatCode="[h]:mm"/>
    <numFmt numFmtId="174" formatCode="&quot;$&quot;#,##0"/>
    <numFmt numFmtId="175" formatCode="[h]:mm"/>
    <numFmt numFmtId="176" formatCode="&quot;$&quot;#,##0"/>
    <numFmt numFmtId="177" formatCode="#,##0;[Red]-#,##0"/>
    <numFmt numFmtId="178" formatCode="[h]:mm"/>
    <numFmt numFmtId="179" formatCode="&quot;$&quot;#,##0"/>
    <numFmt numFmtId="180" formatCode="dd/mm/yyyy"/>
    <numFmt numFmtId="181" formatCode="#,##0;[Red]-#,##0"/>
    <numFmt numFmtId="182" formatCode="dd/mm/yyyy"/>
    <numFmt numFmtId="183" formatCode="dd-mmm"/>
  </numFmts>
  <fonts count="44" x14ac:knownFonts="1">
    <font>
      <sz val="11"/>
      <name val="Calibri"/>
    </font>
    <font>
      <sz val="11"/>
      <name val="Calibri"/>
    </font>
    <font>
      <sz val="16"/>
      <name val="Calibri"/>
      <b/>
      <color rgb="17365D"/>
    </font>
    <font>
      <sz val="10"/>
      <name val="Arial"/>
      <color rgb="1F2937"/>
    </font>
    <font>
      <sz val="11"/>
      <name val="Calibri"/>
      <color rgb="595959"/>
    </font>
    <font>
      <sz val="11"/>
      <name val="Calibri"/>
      <b/>
      <color rgb="9C5700"/>
    </font>
    <font>
      <sz val="11"/>
      <name val="Calibri"/>
      <i/>
      <color rgb="595959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1"/>
      <name val="Calibri"/>
      <b/>
      <color rgb="17365D"/>
    </font>
    <font>
      <sz val="11"/>
      <name val="Calibri"/>
      <b/>
      <color rgb="17365D"/>
    </font>
    <font>
      <sz val="11"/>
      <name val="Calibri"/>
      <b/>
      <color rgb="17365D"/>
    </font>
    <font>
      <sz val="11"/>
      <name val="Calibri"/>
      <b/>
      <color rgb="17365D"/>
    </font>
    <font>
      <sz val="11"/>
      <name val="Calibri"/>
      <b/>
      <color rgb="17365D"/>
    </font>
    <font>
      <sz val="11"/>
      <name val="Calibri"/>
      <i/>
      <color rgb="595959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  <font>
      <sz val="10"/>
      <name val="Arial"/>
      <b/>
      <color rgb="FFFFFF"/>
    </font>
    <font>
      <sz val="10"/>
      <name val="Arial"/>
      <color rgb="1F2937"/>
    </font>
    <font>
      <sz val="10"/>
      <name val="Arial"/>
      <color rgb="1F2937"/>
    </font>
    <font>
      <sz val="10"/>
      <name val="Arial"/>
      <color rgb="1F2937"/>
    </font>
  </fonts>
  <fills count="4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2CC"/>
        <bgColor/>
      </patternFill>
    </fill>
    <fill>
      <patternFill patternType="solid">
        <fgColor rgb="FFFFFFFF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FFFFF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FFF2C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F4E78"/>
        <bgColor/>
      </patternFill>
    </fill>
    <fill>
      <patternFill patternType="solid">
        <fgColor rgb="FFE4DFEC"/>
        <bgColor/>
      </patternFill>
    </fill>
    <fill>
      <patternFill patternType="solid">
        <fgColor rgb="FFFCE4D6"/>
        <bgColor/>
      </patternFill>
    </fill>
    <fill>
      <patternFill patternType="solid">
        <fgColor rgb="FFF2F2F2"/>
        <bgColor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  <border>
      <left/>
      <right/>
      <top/>
      <bottom style="thin">
        <color rgb="B4C6E7"/>
      </bottom>
      <diagonal/>
    </border>
  </borders>
  <cellStyleXfs>
    <xf numFmtId="0" fontId="0" fillId="0" borderId="0"/>
  </cellStyleXfs>
  <cellXfs count="4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 applyAlignment="1">
      <alignment vertical="center" wrapText="true"/>
    </xf>
    <xf numFmtId="0" fontId="5" fillId="5" borderId="0" xfId="0" applyFont="1" applyFill="1"/>
    <xf numFmtId="0" fontId="6" fillId="6" borderId="0" xfId="0" applyFont="1" applyFill="1" applyAlignment="1">
      <alignment vertical="center" wrapText="true"/>
    </xf>
    <xf numFmtId="0" fontId="7" fillId="7" borderId="0" xfId="0" applyFont="1" applyFill="1" applyAlignment="1">
      <alignment horizontal="center" vertical="center" wrapText="true"/>
    </xf>
    <xf numFmtId="0" fontId="8" fillId="8" borderId="0" xfId="0" applyFont="1" applyFill="1" applyAlignment="1">
      <alignment horizontal="center" vertical="center" wrapText="true"/>
    </xf>
    <xf numFmtId="0" fontId="9" fillId="9" borderId="2" xfId="0" applyFont="1" applyFill="1" applyBorder="1" applyAlignment="1">
      <alignment horizontal="center" vertical="center" wrapText="true"/>
    </xf>
    <xf numFmtId="0" fontId="10" fillId="10" borderId="3" xfId="0" applyFont="1" applyFill="1" applyBorder="1" applyAlignment="1">
      <alignment horizontal="left" vertical="center"/>
    </xf>
    <xf numFmtId="0" fontId="11" fillId="11" borderId="4" xfId="0" applyFont="1" applyFill="1" applyBorder="1" applyAlignment="1">
      <alignment horizontal="left" vertical="center" wrapText="true"/>
    </xf>
    <xf numFmtId="0" fontId="12" fillId="12" borderId="5" xfId="0" applyFont="1" applyFill="1" applyBorder="1" applyAlignment="1">
      <alignment horizontal="center" vertical="center"/>
    </xf>
    <xf numFmtId="165" fontId="13" fillId="13" borderId="6" xfId="0" applyFont="1" applyFill="1" applyBorder="1" applyNumberFormat="1" applyAlignment="1">
      <alignment horizontal="center" vertical="center"/>
    </xf>
    <xf numFmtId="166" fontId="14" fillId="14" borderId="7" xfId="0" applyFont="1" applyFill="1" applyBorder="1" applyNumberFormat="1" applyAlignment="1">
      <alignment horizontal="center" vertical="center"/>
    </xf>
    <xf numFmtId="167" fontId="15" fillId="15" borderId="8" xfId="0" applyFont="1" applyFill="1" applyBorder="1" applyNumberFormat="1" applyAlignment="1">
      <alignment horizontal="center" vertical="center"/>
    </xf>
    <xf numFmtId="168" fontId="16" fillId="16" borderId="9" xfId="0" applyFont="1" applyFill="1" applyBorder="1" applyNumberFormat="1" applyAlignment="1">
      <alignment horizontal="left" vertical="center"/>
    </xf>
    <xf numFmtId="169" fontId="17" fillId="17" borderId="10" xfId="0" applyFont="1" applyFill="1" applyBorder="1" applyNumberFormat="1" applyAlignment="1">
      <alignment horizontal="left" vertical="center"/>
    </xf>
    <xf numFmtId="0" fontId="18" fillId="18" borderId="11" xfId="0" applyFont="1" applyFill="1" applyBorder="1" applyAlignment="1">
      <alignment horizontal="left" vertical="center" wrapText="true"/>
    </xf>
    <xf numFmtId="170" fontId="19" fillId="19" borderId="12" xfId="0" applyFont="1" applyFill="1" applyBorder="1" applyNumberFormat="1" applyAlignment="1">
      <alignment horizontal="left" vertical="center"/>
    </xf>
    <xf numFmtId="171" fontId="20" fillId="20" borderId="13" xfId="0" applyFont="1" applyFill="1" applyBorder="1" applyNumberFormat="1" applyAlignment="1">
      <alignment horizontal="left" vertical="center"/>
    </xf>
    <xf numFmtId="0" fontId="21" fillId="21" borderId="14" xfId="0" applyFont="1" applyFill="1" applyBorder="1" applyAlignment="1">
      <alignment horizontal="center" vertical="center" wrapText="true"/>
    </xf>
    <xf numFmtId="0" fontId="22" fillId="22" borderId="15" xfId="0" applyFont="1" applyFill="1" applyBorder="1" applyAlignment="1">
      <alignment horizontal="left" vertical="center"/>
    </xf>
    <xf numFmtId="0" fontId="23" fillId="23" borderId="16" xfId="0" applyFont="1" applyFill="1" applyBorder="1" applyAlignment="1">
      <alignment horizontal="left" vertical="center" wrapText="true"/>
    </xf>
    <xf numFmtId="0" fontId="24" fillId="24" borderId="17" xfId="0" applyFont="1" applyFill="1" applyBorder="1" applyAlignment="1">
      <alignment horizontal="center" vertical="center"/>
    </xf>
    <xf numFmtId="172" fontId="25" fillId="25" borderId="18" xfId="0" applyFont="1" applyFill="1" applyBorder="1" applyNumberFormat="1" applyAlignment="1">
      <alignment horizontal="center" vertical="center"/>
    </xf>
    <xf numFmtId="173" fontId="26" fillId="26" borderId="19" xfId="0" applyFont="1" applyFill="1" applyBorder="1" applyNumberFormat="1" applyAlignment="1">
      <alignment horizontal="center" vertical="center"/>
    </xf>
    <xf numFmtId="174" fontId="27" fillId="27" borderId="20" xfId="0" applyFont="1" applyFill="1" applyBorder="1" applyNumberFormat="1" applyAlignment="1">
      <alignment horizontal="center" vertical="center"/>
    </xf>
    <xf numFmtId="175" fontId="28" fillId="28" borderId="21" xfId="0" applyFont="1" applyFill="1" applyBorder="1" applyNumberFormat="1" applyAlignment="1">
      <alignment horizontal="left" vertical="center"/>
    </xf>
    <xf numFmtId="176" fontId="29" fillId="29" borderId="22" xfId="0" applyFont="1" applyFill="1" applyBorder="1" applyNumberFormat="1" applyAlignment="1">
      <alignment horizontal="left" vertical="center"/>
    </xf>
    <xf numFmtId="0" fontId="30" fillId="30" borderId="23" xfId="0" applyFont="1" applyFill="1" applyBorder="1" applyAlignment="1">
      <alignment horizontal="left" vertical="center"/>
    </xf>
    <xf numFmtId="0" fontId="31" fillId="31" borderId="24" xfId="0" applyFont="1" applyFill="1" applyBorder="1" applyAlignment="1">
      <alignment horizontal="center" vertical="center"/>
    </xf>
    <xf numFmtId="177" fontId="32" fillId="32" borderId="25" xfId="0" applyFont="1" applyFill="1" applyBorder="1" applyNumberFormat="1" applyAlignment="1">
      <alignment horizontal="center" vertical="center"/>
    </xf>
    <xf numFmtId="178" fontId="33" fillId="33" borderId="26" xfId="0" applyFont="1" applyFill="1" applyBorder="1" applyNumberFormat="1" applyAlignment="1">
      <alignment horizontal="center" vertical="center"/>
    </xf>
    <xf numFmtId="179" fontId="34" fillId="34" borderId="27" xfId="0" applyFont="1" applyFill="1" applyBorder="1" applyNumberFormat="1" applyAlignment="1">
      <alignment horizontal="center" vertical="center"/>
    </xf>
    <xf numFmtId="0" fontId="35" fillId="35" borderId="0" xfId="0" applyFont="1" applyFill="1" applyAlignment="1">
      <alignment vertical="center" wrapText="true"/>
    </xf>
    <xf numFmtId="180" fontId="36" fillId="36" borderId="28" xfId="0" applyFont="1" applyFill="1" applyBorder="1" applyNumberFormat="1" applyAlignment="1">
      <alignment horizontal="left" vertical="center"/>
    </xf>
    <xf numFmtId="181" fontId="37" fillId="37" borderId="29" xfId="0" applyFont="1" applyFill="1" applyBorder="1" applyNumberFormat="1" applyAlignment="1">
      <alignment horizontal="right" vertical="center"/>
    </xf>
    <xf numFmtId="182" fontId="38" fillId="38" borderId="30" xfId="0" applyFont="1" applyFill="1" applyBorder="1" applyNumberFormat="1" applyAlignment="1">
      <alignment horizontal="left" vertical="center"/>
    </xf>
    <xf numFmtId="0" fontId="39" fillId="39" borderId="31" xfId="0" applyFont="1" applyFill="1" applyBorder="1" applyAlignment="1">
      <alignment horizontal="right" vertical="center"/>
    </xf>
    <xf numFmtId="183" fontId="40" fillId="40" borderId="0" xfId="0" applyFont="1" applyFill="1" applyNumberFormat="1" applyAlignment="1">
      <alignment horizontal="center" vertical="center" textRotation="90"/>
    </xf>
    <xf numFmtId="0" fontId="41" fillId="41" borderId="32" xfId="0" applyFont="1" applyFill="1" applyBorder="1" applyAlignment="1">
      <alignment horizontal="center" vertical="center"/>
    </xf>
    <xf numFmtId="0" fontId="42" fillId="42" borderId="33" xfId="0" applyFont="1" applyFill="1" applyBorder="1" applyAlignment="1">
      <alignment horizontal="center" vertical="center"/>
    </xf>
    <xf numFmtId="0" fontId="43" fillId="43" borderId="34" xfId="0" applyFont="1" applyFill="1" applyBorder="1" applyAlignment="1">
      <alignment horizontal="center" vertical="center"/>
    </xf>
  </cellXfs>
  <cellStyles>
    <cellStyle name="Normal" xfId="0" builtinId="0"/>
  </cellStyles>
  <dxfs count="17">
    <dxf>
      <font>
        <color rgb="FF9C5700"/>
      </font>
      <fill>
        <patternFill patternType="solid">
          <fgColor rgb="FFFFF2CC"/>
          <bgColor indexed="64"/>
        </patternFill>
      </fill>
    </dxf>
    <dxf>
      <font>
        <color rgb="FF9C5700"/>
      </font>
      <fill>
        <patternFill patternType="solid">
          <fgColor rgb="FFFFF2CC"/>
          <bgColor indexed="64"/>
        </patternFill>
      </fill>
    </dxf>
    <dxf>
      <font>
        <color rgb="FF9C5700"/>
      </font>
      <fill>
        <patternFill patternType="solid">
          <fgColor rgb="FFFFF2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375623"/>
      </font>
      <fill>
        <patternFill patternType="solid">
          <fgColor rgb="FFE2F0D9"/>
          <bgColor indexed="64"/>
        </patternFill>
      </fill>
    </dxf>
    <dxf>
      <font>
        <color rgb="FF17365D"/>
      </font>
      <fill>
        <patternFill patternType="solid">
          <fgColor rgb="FFD9EAF7"/>
          <bgColor indexed="64"/>
        </patternFill>
      </fill>
    </dxf>
    <dxf>
      <font>
        <color rgb="FF9C0006"/>
      </font>
      <fill>
        <patternFill patternType="solid">
          <fgColor rgb="FFFCE4D6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9C0006"/>
      </font>
      <fill>
        <patternFill patternType="solid">
          <fgColor rgb="FFF4CCCC"/>
          <bgColor indexed="64"/>
        </patternFill>
      </fill>
    </dxf>
    <dxf>
      <font>
        <color rgb="FF7030A0"/>
      </font>
      <fill>
        <patternFill patternType="solid">
          <fgColor rgb="FFE4DFEC"/>
          <bgColor indexed="64"/>
        </patternFill>
      </fill>
    </dxf>
    <dxf>
      <font>
        <color rgb="FF1F4E78"/>
      </font>
      <fill>
        <patternFill patternType="solid">
          <fgColor rgb="FFDDEBF7"/>
          <bgColor indexed="64"/>
        </patternFill>
      </fill>
    </dxf>
    <dxf>
      <font>
        <color rgb="FF1F4E78"/>
      </font>
      <fill>
        <patternFill patternType="solid">
          <fgColor rgb="FFDDEBF7"/>
          <bgColor indexed="64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1"/>
  <sheetViews>
    <sheetView workbookViewId="0">
      <pane xSplit="5" ySplit="5" topLeftCell="F6" activePane="bottomRight" state="frozen"/>
      <selection pane="bottomRight" activeCell="F6" sqref="F6"/>
    </sheetView>
  </sheetViews>
  <cols>
    <col min="1" max="1" width="27.83203125" customWidth="1"/>
    <col min="2" max="2" width="15.83203125" customWidth="1"/>
    <col min="3" max="3" width="29.83203125" customWidth="1"/>
    <col min="4" max="4" width="16.83203125" customWidth="1"/>
    <col min="5" max="5" width="20.83203125" customWidth="1"/>
    <col min="6" max="6" width="27.83203125" customWidth="1"/>
    <col min="7" max="7" width="16.83203125" customWidth="1"/>
    <col min="8" max="8" width="17.83203125" customWidth="1"/>
    <col min="9" max="9" width="15.83203125" customWidth="1"/>
    <col min="10" max="10" width="16.83203125" customWidth="1"/>
    <col min="11" max="11" width="20.83203125" customWidth="1"/>
    <col min="12" max="12" width="25.83203125" customWidth="1"/>
    <col min="13" max="13" width="15.83203125" customWidth="1"/>
    <col min="14" max="14" width="16.83203125" customWidth="1"/>
    <col min="15" max="15" width="13.83203125" customWidth="1"/>
    <col min="16" max="16" width="42.83203125" customWidth="1"/>
    <col min="17" max="17" width="22.83203125" customWidth="1" hidden="true" level="1" outlineLevel="1"/>
    <col min="18" max="18" width="22.83203125" customWidth="1" hidden="true" level="1" outlineLevel="1"/>
    <col min="19" max="19" width="22.83203125" customWidth="1" hidden="true" level="1" outlineLevel="1"/>
    <col min="20" max="20" width="22.83203125" customWidth="1" hidden="true" level="1" outlineLevel="1"/>
    <col min="21" max="21" width="22.83203125" customWidth="1" hidden="true" level="1" outlineLevel="1"/>
    <col min="22" max="22" width="22.83203125" customWidth="1" hidden="true" level="1" outlineLevel="1"/>
    <col min="23" max="23" width="22.83203125" customWidth="1" hidden="true" level="1" outlineLevel="1"/>
    <col min="24" max="24" width="22.83203125" customWidth="1" hidden="true" level="1" outlineLevel="1"/>
    <col min="25" max="25" width="22.83203125" customWidth="1" hidden="true" level="1" outlineLevel="1"/>
    <col min="26" max="26" width="22.83203125" customWidth="1" hidden="true" level="1" outlineLevel="1"/>
    <col min="27" max="27" width="22.83203125" customWidth="1" hidden="true" level="1" outlineLevel="1"/>
    <col min="28" max="28" width="22.83203125" customWidth="1" hidden="true" level="1" outlineLevel="1"/>
    <col min="29" max="29" width="38.83203125" customWidth="1" hidden="true" level="1" outlineLevel="1"/>
  </cols>
  <sheetData>
    <row r="1" ht="26" customHeight="1">
      <c r="A1" s="3" t="str">
        <v>RESUMEN DE PRE-NÓMINA · ESTÁNDAR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</row>
    <row r="2" ht="20" customHeight="1">
      <c r="A2" s="5" t="str">
        <v>Período de novedades: Remuneraciones agosto de 2026 · 16 de julio al 15 de agosto de 2026 (corte estricto 16-15)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</row>
    <row r="3" ht="22" customHeight="1">
      <c r="A3" s="6" t="str">
        <v>BORRADOR — el período 16-15 no está cerrado y 4 persona(s) requieren revisión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</row>
    <row r="4" ht="48" customHeight="1">
      <c r="A4" s="7" t="str">
        <v>Las horas y bonos automáticos provienen solo de decisiones definitivas. Los días P son códigos de presencia, no días pagables. Centro_Costo corresponde a la unidad organizacional primaria vigente al día 15. Ajuste_50/100 se ingresa en minutos enteros (+/-); bonos se ajustan en CLP. Todo ajuste exige motivo. 'Sin pendientes' no reemplaza el cierre formal ni un snapshot inmutable.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</row>
    <row r="5" ht="42" customHeight="1">
      <c r="A5" s="8" t="str">
        <v>Estado</v>
      </c>
      <c r="B5" s="9" t="str">
        <v>RUT</v>
      </c>
      <c r="C5" s="9" t="str">
        <v>Nombre completo</v>
      </c>
      <c r="D5" s="9" t="str">
        <v>Área</v>
      </c>
      <c r="E5" s="9" t="str">
        <v>Centro de costo</v>
      </c>
      <c r="F5" s="9" t="str">
        <v>Jornada</v>
      </c>
      <c r="G5" s="9" t="str">
        <v>Días con presencia</v>
      </c>
      <c r="H5" s="9" t="str">
        <v>Horas ordinarias registradas</v>
      </c>
      <c r="I5" s="9" t="str">
        <v>HH50 pagables</v>
      </c>
      <c r="J5" s="9" t="str">
        <v>HH100 pagables</v>
      </c>
      <c r="K5" s="9" t="str">
        <v>Atrasos descontables</v>
      </c>
      <c r="L5" s="9" t="str">
        <v>Salidas anticipadas descontables</v>
      </c>
      <c r="M5" s="9" t="str">
        <v>Días con bono</v>
      </c>
      <c r="N5" s="9" t="str">
        <v>Bono total</v>
      </c>
      <c r="O5" s="9" t="str">
        <v>Pendientes</v>
      </c>
      <c r="P5" s="9" t="str">
        <v>Observaciones</v>
      </c>
      <c r="Q5" s="9" t="str">
        <v>HH50 reales</v>
      </c>
      <c r="R5" s="9" t="str">
        <v>Ajuste HH50 (minutos)</v>
      </c>
      <c r="S5" s="9" t="str">
        <v>Motivo ajuste HH50</v>
      </c>
      <c r="T5" s="9" t="str">
        <v>HH100 reales</v>
      </c>
      <c r="U5" s="9" t="str">
        <v>Ajuste HH100 (minutos)</v>
      </c>
      <c r="V5" s="9" t="str">
        <v>Motivo ajuste HH100</v>
      </c>
      <c r="W5" s="9" t="str">
        <v>Bono HE automático</v>
      </c>
      <c r="X5" s="9" t="str">
        <v>Ajuste bono (CLP)</v>
      </c>
      <c r="Y5" s="9" t="str">
        <v>Motivo ajuste bono</v>
      </c>
      <c r="Z5" s="9" t="str">
        <v>Fechas de bono</v>
      </c>
      <c r="AA5" s="9" t="str">
        <v>Fechas pendientes</v>
      </c>
      <c r="AB5" s="9" t="str">
        <v>Código Workera</v>
      </c>
      <c r="AC5" s="9" t="str">
        <v>Identificador técnico</v>
      </c>
    </row>
    <row r="6">
      <c r="A6" s="10" t="str">
        <f>IF(OR($O6&gt;0,COUNTIF('CONTROL_PENDIENTES'!$A$5:$A$8,"GLOBAL")&gt;0,COUNTIF(INDEX('MATRIZ_DIARIA_SABANA'!$F$6:$AJ$60,MATCH($AB6,'MATRIZ_DIARIA_SABANA'!$B$6:$B$60,0),0),"~?")&gt;0,AND($R6&lt;&gt;0,LEN(TRIM($S6))=0),AND($U6&lt;&gt;0,LEN(TRIM($V6))=0),AND($X6&lt;&gt;0,LEN(TRIM($Y6))=0),$I6&lt;0,$J6&lt;0,$N6&lt;0),"BLOQUEADO","LISTO PARA REVISIÓN RR. HH.")</f>
        <v>BLOQUEADO</v>
      </c>
      <c r="B6" s="11" t="str">
        <v>33333333-3</v>
      </c>
      <c r="C6" s="12" t="str">
        <v>CARLA SOTO</v>
      </c>
      <c r="D6" s="13" t="str">
        <v>Instalación</v>
      </c>
      <c r="E6" s="11" t="str">
        <v>CC-INST — Instalaciones</v>
      </c>
      <c r="F6" s="12" t="str">
        <v>L-V 08:00-17:00</v>
      </c>
      <c r="G6" s="14">
        <f>COUNTIF(INDEX('MATRIZ_DIARIA_SABANA'!$F$6:$AJ$60,MATCH($AB6,'MATRIZ_DIARIA_SABANA'!$B$6:$B$60,0),0),"P")</f>
        <v>21</v>
      </c>
      <c r="H6" s="15">
        <v>0</v>
      </c>
      <c r="I6" s="15">
        <f>Q6+R6/1440</f>
        <v>0</v>
      </c>
      <c r="J6" s="15">
        <f>T6+U6/1440</f>
        <v>0</v>
      </c>
      <c r="K6" s="15">
        <v>0</v>
      </c>
      <c r="L6" s="15">
        <v>0</v>
      </c>
      <c r="M6" s="14">
        <v>0</v>
      </c>
      <c r="N6" s="16">
        <f>W6+X6</f>
        <v>0</v>
      </c>
      <c r="O6" s="14">
        <v>1</v>
      </c>
      <c r="P6" s="12" t="str">
        <v>Marcaciones incompletas por resolver: 1</v>
      </c>
      <c r="Q6" s="17">
        <v>0</v>
      </c>
      <c r="R6" s="18">
        <v>0</v>
      </c>
      <c r="S6" s="19" t="str">
        <v/>
      </c>
      <c r="T6" s="17">
        <v>0</v>
      </c>
      <c r="U6" s="20">
        <v>0</v>
      </c>
      <c r="V6" s="19" t="str">
        <v/>
      </c>
      <c r="W6" s="21">
        <v>0</v>
      </c>
      <c r="X6" s="20">
        <v>0</v>
      </c>
      <c r="Y6" s="19" t="str">
        <v/>
      </c>
      <c r="Z6" s="12" t="str">
        <v/>
      </c>
      <c r="AA6" s="12" t="str">
        <v>10/08</v>
      </c>
      <c r="AB6" s="11" t="str">
        <v>WK-003</v>
      </c>
      <c r="AC6" s="11" t="str">
        <v>demo-3</v>
      </c>
    </row>
    <row r="7">
      <c r="A7" s="22" t="str">
        <f>IF(OR($O7&gt;0,COUNTIF('CONTROL_PENDIENTES'!$A$5:$A$8,"GLOBAL")&gt;0,COUNTIF(INDEX('MATRIZ_DIARIA_SABANA'!$F$6:$AJ$60,MATCH($AB7,'MATRIZ_DIARIA_SABANA'!$B$6:$B$60,0),0),"~?")&gt;0,AND($R7&lt;&gt;0,LEN(TRIM($S7))=0),AND($U7&lt;&gt;0,LEN(TRIM($V7))=0),AND($X7&lt;&gt;0,LEN(TRIM($Y7))=0),$I7&lt;0,$J7&lt;0,$N7&lt;0),"BLOQUEADO","LISTO PARA REVISIÓN RR. HH.")</f>
        <v>LISTO PARA REVISIÓN RR. HH.</v>
      </c>
      <c r="B7" s="23" t="str">
        <v>44444444-4</v>
      </c>
      <c r="C7" s="24" t="str">
        <v>DIEGO PÉREZ</v>
      </c>
      <c r="D7" s="25" t="str">
        <v>Administración</v>
      </c>
      <c r="E7" s="23" t="str">
        <v>CC-ADM — Administración</v>
      </c>
      <c r="F7" s="24" t="str">
        <v>Exento de marcación</v>
      </c>
      <c r="G7" s="26">
        <f>COUNTIF(INDEX('MATRIZ_DIARIA_SABANA'!$F$6:$AJ$60,MATCH($AB7,'MATRIZ_DIARIA_SABANA'!$B$6:$B$60,0),0),"P")</f>
        <v>0</v>
      </c>
      <c r="H7" s="27">
        <v>0</v>
      </c>
      <c r="I7" s="27">
        <f>Q7+R7/1440</f>
        <v>0</v>
      </c>
      <c r="J7" s="27">
        <f>T7+U7/1440</f>
        <v>0</v>
      </c>
      <c r="K7" s="27">
        <v>0</v>
      </c>
      <c r="L7" s="27">
        <v>0</v>
      </c>
      <c r="M7" s="26">
        <v>0</v>
      </c>
      <c r="N7" s="28">
        <f>W7+X7</f>
        <v>0</v>
      </c>
      <c r="O7" s="26">
        <v>0</v>
      </c>
      <c r="P7" s="24" t="str">
        <v>Exento de marcación durante el período indicado</v>
      </c>
      <c r="Q7" s="29">
        <v>0</v>
      </c>
      <c r="R7" s="20">
        <v>0</v>
      </c>
      <c r="S7" s="19" t="str">
        <v/>
      </c>
      <c r="T7" s="29">
        <v>0</v>
      </c>
      <c r="U7" s="20">
        <v>0</v>
      </c>
      <c r="V7" s="19" t="str">
        <v/>
      </c>
      <c r="W7" s="30">
        <v>0</v>
      </c>
      <c r="X7" s="20">
        <v>0</v>
      </c>
      <c r="Y7" s="19" t="str">
        <v/>
      </c>
      <c r="Z7" s="24" t="str">
        <v/>
      </c>
      <c r="AA7" s="24" t="str">
        <v/>
      </c>
      <c r="AB7" s="23" t="str">
        <v>WK-004</v>
      </c>
      <c r="AC7" s="23" t="str">
        <v>demo-4</v>
      </c>
    </row>
    <row r="8">
      <c r="A8" s="10" t="str">
        <f>IF(OR($O8&gt;0,COUNTIF('CONTROL_PENDIENTES'!$A$5:$A$8,"GLOBAL")&gt;0,COUNTIF(INDEX('MATRIZ_DIARIA_SABANA'!$F$6:$AJ$60,MATCH($AB8,'MATRIZ_DIARIA_SABANA'!$B$6:$B$60,0),0),"~?")&gt;0,AND($R8&lt;&gt;0,LEN(TRIM($S8))=0),AND($U8&lt;&gt;0,LEN(TRIM($V8))=0),AND($X8&lt;&gt;0,LEN(TRIM($Y8))=0),$I8&lt;0,$J8&lt;0,$N8&lt;0),"BLOQUEADO","LISTO PARA REVISIÓN RR. HH.")</f>
        <v>LISTO PARA REVISIÓN RR. HH.</v>
      </c>
      <c r="B8" s="11" t="str">
        <v>22222222-2</v>
      </c>
      <c r="C8" s="12" t="str">
        <v>JUAN PÉREZ</v>
      </c>
      <c r="D8" s="13" t="str">
        <v>Producción</v>
      </c>
      <c r="E8" s="11" t="str">
        <v>CC-PROD — Producción</v>
      </c>
      <c r="F8" s="12" t="str">
        <v>L-J 08:00-17:30 · V 08:00-15:20</v>
      </c>
      <c r="G8" s="14">
        <f>COUNTIF(INDEX('MATRIZ_DIARIA_SABANA'!$F$6:$AJ$60,MATCH($AB8,'MATRIZ_DIARIA_SABANA'!$B$6:$B$60,0),0),"P")</f>
        <v>20</v>
      </c>
      <c r="H8" s="15">
        <v>0</v>
      </c>
      <c r="I8" s="15">
        <f>Q8+R8/1440</f>
        <v>0</v>
      </c>
      <c r="J8" s="15">
        <f>T8+U8/1440</f>
        <v>0.125</v>
      </c>
      <c r="K8" s="15">
        <v>0</v>
      </c>
      <c r="L8" s="15">
        <v>0</v>
      </c>
      <c r="M8" s="14">
        <v>0</v>
      </c>
      <c r="N8" s="16">
        <f>W8+X8</f>
        <v>0</v>
      </c>
      <c r="O8" s="14">
        <v>0</v>
      </c>
      <c r="P8" s="12" t="str">
        <v/>
      </c>
      <c r="Q8" s="17">
        <v>0</v>
      </c>
      <c r="R8" s="20">
        <v>0</v>
      </c>
      <c r="S8" s="19" t="str">
        <v/>
      </c>
      <c r="T8" s="17">
        <v>0.125</v>
      </c>
      <c r="U8" s="20">
        <v>0</v>
      </c>
      <c r="V8" s="19" t="str">
        <v/>
      </c>
      <c r="W8" s="21">
        <v>0</v>
      </c>
      <c r="X8" s="20">
        <v>0</v>
      </c>
      <c r="Y8" s="19" t="str">
        <v/>
      </c>
      <c r="Z8" s="12" t="str">
        <v/>
      </c>
      <c r="AA8" s="12" t="str">
        <v/>
      </c>
      <c r="AB8" s="11" t="str">
        <v>WK-002</v>
      </c>
      <c r="AC8" s="11" t="str">
        <v>demo-2</v>
      </c>
    </row>
    <row r="9">
      <c r="A9" s="22" t="str">
        <f>IF(OR($O9&gt;0,COUNTIF('CONTROL_PENDIENTES'!$A$5:$A$8,"GLOBAL")&gt;0,COUNTIF(INDEX('MATRIZ_DIARIA_SABANA'!$F$6:$AJ$60,MATCH($AB9,'MATRIZ_DIARIA_SABANA'!$B$6:$B$60,0),0),"~?")&gt;0,AND($R9&lt;&gt;0,LEN(TRIM($S9))=0),AND($U9&lt;&gt;0,LEN(TRIM($V9))=0),AND($X9&lt;&gt;0,LEN(TRIM($Y9))=0),$I9&lt;0,$J9&lt;0,$N9&lt;0),"BLOQUEADO","LISTO PARA REVISIÓN RR. HH.")</f>
        <v>LISTO PARA REVISIÓN RR. HH.</v>
      </c>
      <c r="B9" s="23" t="str">
        <v>11111111-1</v>
      </c>
      <c r="C9" s="24" t="str">
        <v>MARÍA GONZÁLEZ</v>
      </c>
      <c r="D9" s="25" t="str">
        <v>Administración</v>
      </c>
      <c r="E9" s="23" t="str">
        <v>CC-ADM — Administración</v>
      </c>
      <c r="F9" s="24" t="str">
        <v>L-J 08:30-18:00 · V 08:30-15:50</v>
      </c>
      <c r="G9" s="26">
        <f>COUNTIF(INDEX('MATRIZ_DIARIA_SABANA'!$F$6:$AJ$60,MATCH($AB9,'MATRIZ_DIARIA_SABANA'!$B$6:$B$60,0),0),"P")</f>
        <v>19</v>
      </c>
      <c r="H9" s="27">
        <v>0</v>
      </c>
      <c r="I9" s="27">
        <f>Q9+R9/1440</f>
        <v>0.08333333333333333</v>
      </c>
      <c r="J9" s="27">
        <f>T9+U9/1440</f>
        <v>0</v>
      </c>
      <c r="K9" s="27">
        <v>0.008333333333333333</v>
      </c>
      <c r="L9" s="27">
        <v>0</v>
      </c>
      <c r="M9" s="26">
        <v>2</v>
      </c>
      <c r="N9" s="28">
        <f>W9+X9</f>
        <v>2000</v>
      </c>
      <c r="O9" s="26">
        <v>0</v>
      </c>
      <c r="P9" s="24" t="str">
        <v/>
      </c>
      <c r="Q9" s="29">
        <v>0.08333333333333333</v>
      </c>
      <c r="R9" s="20">
        <v>0</v>
      </c>
      <c r="S9" s="19" t="str">
        <v/>
      </c>
      <c r="T9" s="29">
        <v>0</v>
      </c>
      <c r="U9" s="20">
        <v>0</v>
      </c>
      <c r="V9" s="19" t="str">
        <v/>
      </c>
      <c r="W9" s="30">
        <v>2000</v>
      </c>
      <c r="X9" s="20">
        <v>0</v>
      </c>
      <c r="Y9" s="19" t="str">
        <v/>
      </c>
      <c r="Z9" s="24" t="str">
        <v>17/07, 21/07</v>
      </c>
      <c r="AA9" s="24" t="str">
        <v/>
      </c>
      <c r="AB9" s="23" t="str">
        <v>WK-001</v>
      </c>
      <c r="AC9" s="23" t="str">
        <v>demo-1</v>
      </c>
    </row>
    <row r="10">
      <c r="A10" s="10" t="str">
        <f>IF(OR($O10&gt;0,COUNTIF('CONTROL_PENDIENTES'!$A$5:$A$8,"GLOBAL")&gt;0,COUNTIF(INDEX('MATRIZ_DIARIA_SABANA'!$F$6:$AJ$60,MATCH($AB10,'MATRIZ_DIARIA_SABANA'!$B$6:$B$60,0),0),"~?")&gt;0,AND($R10&lt;&gt;0,LEN(TRIM($S10))=0),AND($U10&lt;&gt;0,LEN(TRIM($V10))=0),AND($X10&lt;&gt;0,LEN(TRIM($Y10))=0),$I10&lt;0,$J10&lt;0,$N10&lt;0),"BLOQUEADO","LISTO PARA REVISIÓN RR. HH.")</f>
        <v>BLOQUEADO</v>
      </c>
      <c r="B10" s="11" t="str">
        <v>FICTICIO-005</v>
      </c>
      <c r="C10" s="12" t="str">
        <v>PERSONA SIMULADA 05</v>
      </c>
      <c r="D10" s="13" t="str">
        <v>Administración</v>
      </c>
      <c r="E10" s="11" t="str">
        <v>CC-ADM — Administración</v>
      </c>
      <c r="F10" s="12" t="str">
        <v>L-V 08:30-17:30</v>
      </c>
      <c r="G10" s="14">
        <f>COUNTIF(INDEX('MATRIZ_DIARIA_SABANA'!$F$6:$AJ$60,MATCH($AB10,'MATRIZ_DIARIA_SABANA'!$B$6:$B$60,0),0),"P")</f>
        <v>23</v>
      </c>
      <c r="H10" s="15">
        <v>0</v>
      </c>
      <c r="I10" s="15">
        <f>Q10+R10/1440</f>
        <v>0</v>
      </c>
      <c r="J10" s="15">
        <f>T10+U10/1440</f>
        <v>0</v>
      </c>
      <c r="K10" s="15">
        <v>0</v>
      </c>
      <c r="L10" s="15">
        <v>0</v>
      </c>
      <c r="M10" s="14">
        <v>0</v>
      </c>
      <c r="N10" s="16">
        <f>W10+X10</f>
        <v>0</v>
      </c>
      <c r="O10" s="14">
        <v>1</v>
      </c>
      <c r="P10" s="12" t="str">
        <v>Horas extra por decidir: 1</v>
      </c>
      <c r="Q10" s="17">
        <v>0</v>
      </c>
      <c r="R10" s="20">
        <v>0</v>
      </c>
      <c r="S10" s="19" t="str">
        <v/>
      </c>
      <c r="T10" s="17">
        <v>0</v>
      </c>
      <c r="U10" s="20">
        <v>0</v>
      </c>
      <c r="V10" s="19" t="str">
        <v/>
      </c>
      <c r="W10" s="21">
        <v>0</v>
      </c>
      <c r="X10" s="20">
        <v>0</v>
      </c>
      <c r="Y10" s="19" t="str">
        <v/>
      </c>
      <c r="Z10" s="12" t="str">
        <v/>
      </c>
      <c r="AA10" s="12" t="str">
        <v>18/07</v>
      </c>
      <c r="AB10" s="11" t="str">
        <v>SIM-005</v>
      </c>
      <c r="AC10" s="11" t="str">
        <v>sim-005</v>
      </c>
    </row>
    <row r="11">
      <c r="A11" s="22" t="str">
        <f>IF(OR($O11&gt;0,COUNTIF('CONTROL_PENDIENTES'!$A$5:$A$8,"GLOBAL")&gt;0,COUNTIF(INDEX('MATRIZ_DIARIA_SABANA'!$F$6:$AJ$60,MATCH($AB11,'MATRIZ_DIARIA_SABANA'!$B$6:$B$60,0),0),"~?")&gt;0,AND($R11&lt;&gt;0,LEN(TRIM($S11))=0),AND($U11&lt;&gt;0,LEN(TRIM($V11))=0),AND($X11&lt;&gt;0,LEN(TRIM($Y11))=0),$I11&lt;0,$J11&lt;0,$N11&lt;0),"BLOQUEADO","LISTO PARA REVISIÓN RR. HH.")</f>
        <v>LISTO PARA REVISIÓN RR. HH.</v>
      </c>
      <c r="B11" s="23" t="str">
        <v>FICTICIO-006</v>
      </c>
      <c r="C11" s="24" t="str">
        <v>PERSONA SIMULADA 06</v>
      </c>
      <c r="D11" s="25" t="str">
        <v>Instalación</v>
      </c>
      <c r="E11" s="23" t="str">
        <v>CC-INST — Instalaciones</v>
      </c>
      <c r="F11" s="24" t="str">
        <v>L-V 08:00-17:00</v>
      </c>
      <c r="G11" s="26">
        <f>COUNTIF(INDEX('MATRIZ_DIARIA_SABANA'!$F$6:$AJ$60,MATCH($AB11,'MATRIZ_DIARIA_SABANA'!$B$6:$B$60,0),0),"P")</f>
        <v>23</v>
      </c>
      <c r="H11" s="27">
        <v>0</v>
      </c>
      <c r="I11" s="27">
        <f>Q11+R11/1440</f>
        <v>0.08333333333333333</v>
      </c>
      <c r="J11" s="27">
        <f>T11+U11/1440</f>
        <v>0</v>
      </c>
      <c r="K11" s="27">
        <v>0</v>
      </c>
      <c r="L11" s="27">
        <v>0</v>
      </c>
      <c r="M11" s="26">
        <v>1</v>
      </c>
      <c r="N11" s="28">
        <f>W11+X11</f>
        <v>1000</v>
      </c>
      <c r="O11" s="26">
        <v>0</v>
      </c>
      <c r="P11" s="24" t="str">
        <v/>
      </c>
      <c r="Q11" s="29">
        <v>0.08333333333333333</v>
      </c>
      <c r="R11" s="20">
        <v>0</v>
      </c>
      <c r="S11" s="19" t="str">
        <v/>
      </c>
      <c r="T11" s="29">
        <v>0</v>
      </c>
      <c r="U11" s="20">
        <v>0</v>
      </c>
      <c r="V11" s="19" t="str">
        <v/>
      </c>
      <c r="W11" s="30">
        <v>1000</v>
      </c>
      <c r="X11" s="20">
        <v>0</v>
      </c>
      <c r="Y11" s="19" t="str">
        <v/>
      </c>
      <c r="Z11" s="24" t="str">
        <v>25/07</v>
      </c>
      <c r="AA11" s="24" t="str">
        <v/>
      </c>
      <c r="AB11" s="23" t="str">
        <v>SIM-006</v>
      </c>
      <c r="AC11" s="23" t="str">
        <v>sim-006</v>
      </c>
    </row>
    <row r="12">
      <c r="A12" s="10" t="str">
        <f>IF(OR($O12&gt;0,COUNTIF('CONTROL_PENDIENTES'!$A$5:$A$8,"GLOBAL")&gt;0,COUNTIF(INDEX('MATRIZ_DIARIA_SABANA'!$F$6:$AJ$60,MATCH($AB12,'MATRIZ_DIARIA_SABANA'!$B$6:$B$60,0),0),"~?")&gt;0,AND($R12&lt;&gt;0,LEN(TRIM($S12))=0),AND($U12&lt;&gt;0,LEN(TRIM($V12))=0),AND($X12&lt;&gt;0,LEN(TRIM($Y12))=0),$I12&lt;0,$J12&lt;0,$N12&lt;0),"BLOQUEADO","LISTO PARA REVISIÓN RR. HH.")</f>
        <v>LISTO PARA REVISIÓN RR. HH.</v>
      </c>
      <c r="B12" s="11" t="str">
        <v>FICTICIO-007</v>
      </c>
      <c r="C12" s="12" t="str">
        <v>PERSONA SIMULADA 07</v>
      </c>
      <c r="D12" s="13" t="str">
        <v>Producción</v>
      </c>
      <c r="E12" s="11" t="str">
        <v>CC-PROD — Producción</v>
      </c>
      <c r="F12" s="12" t="str">
        <v>L-V 08:00-17:00</v>
      </c>
      <c r="G12" s="14">
        <f>COUNTIF(INDEX('MATRIZ_DIARIA_SABANA'!$F$6:$AJ$60,MATCH($AB12,'MATRIZ_DIARIA_SABANA'!$B$6:$B$60,0),0),"P")</f>
        <v>23</v>
      </c>
      <c r="H12" s="15">
        <v>0</v>
      </c>
      <c r="I12" s="15">
        <f>Q12+R12/1440</f>
        <v>0</v>
      </c>
      <c r="J12" s="15">
        <f>T12+U12/1440</f>
        <v>0.3333333333333333</v>
      </c>
      <c r="K12" s="15">
        <v>0</v>
      </c>
      <c r="L12" s="15">
        <v>0</v>
      </c>
      <c r="M12" s="14">
        <v>1</v>
      </c>
      <c r="N12" s="16">
        <f>W12+X12</f>
        <v>1000</v>
      </c>
      <c r="O12" s="14">
        <v>0</v>
      </c>
      <c r="P12" s="12" t="str">
        <v/>
      </c>
      <c r="Q12" s="17">
        <v>0</v>
      </c>
      <c r="R12" s="20">
        <v>0</v>
      </c>
      <c r="S12" s="19" t="str">
        <v/>
      </c>
      <c r="T12" s="17">
        <v>0.3333333333333333</v>
      </c>
      <c r="U12" s="20">
        <v>0</v>
      </c>
      <c r="V12" s="19" t="str">
        <v/>
      </c>
      <c r="W12" s="21">
        <v>1000</v>
      </c>
      <c r="X12" s="20">
        <v>0</v>
      </c>
      <c r="Y12" s="19" t="str">
        <v/>
      </c>
      <c r="Z12" s="12" t="str">
        <v>26/07</v>
      </c>
      <c r="AA12" s="12" t="str">
        <v/>
      </c>
      <c r="AB12" s="11" t="str">
        <v>SIM-007</v>
      </c>
      <c r="AC12" s="11" t="str">
        <v>sim-007</v>
      </c>
    </row>
    <row r="13">
      <c r="A13" s="22" t="str">
        <f>IF(OR($O13&gt;0,COUNTIF('CONTROL_PENDIENTES'!$A$5:$A$8,"GLOBAL")&gt;0,COUNTIF(INDEX('MATRIZ_DIARIA_SABANA'!$F$6:$AJ$60,MATCH($AB13,'MATRIZ_DIARIA_SABANA'!$B$6:$B$60,0),0),"~?")&gt;0,AND($R13&lt;&gt;0,LEN(TRIM($S13))=0),AND($U13&lt;&gt;0,LEN(TRIM($V13))=0),AND($X13&lt;&gt;0,LEN(TRIM($Y13))=0),$I13&lt;0,$J13&lt;0,$N13&lt;0),"BLOQUEADO","LISTO PARA REVISIÓN RR. HH.")</f>
        <v>LISTO PARA REVISIÓN RR. HH.</v>
      </c>
      <c r="B13" s="23" t="str">
        <v>FICTICIO-008</v>
      </c>
      <c r="C13" s="24" t="str">
        <v>PERSONA SIMULADA 08</v>
      </c>
      <c r="D13" s="25" t="str">
        <v>Administración</v>
      </c>
      <c r="E13" s="23" t="str">
        <v>CC-ADM — Administración</v>
      </c>
      <c r="F13" s="24" t="str">
        <v>L-V 08:30-17:30</v>
      </c>
      <c r="G13" s="26">
        <f>COUNTIF(INDEX('MATRIZ_DIARIA_SABANA'!$F$6:$AJ$60,MATCH($AB13,'MATRIZ_DIARIA_SABANA'!$B$6:$B$60,0),0),"P")</f>
        <v>21</v>
      </c>
      <c r="H13" s="27">
        <v>0</v>
      </c>
      <c r="I13" s="27">
        <f>Q13+R13/1440</f>
        <v>0</v>
      </c>
      <c r="J13" s="27">
        <f>T13+U13/1440</f>
        <v>0</v>
      </c>
      <c r="K13" s="27">
        <v>0</v>
      </c>
      <c r="L13" s="27">
        <v>0</v>
      </c>
      <c r="M13" s="26">
        <v>0</v>
      </c>
      <c r="N13" s="28">
        <f>W13+X13</f>
        <v>0</v>
      </c>
      <c r="O13" s="26">
        <v>0</v>
      </c>
      <c r="P13" s="24" t="str">
        <v/>
      </c>
      <c r="Q13" s="29">
        <v>0</v>
      </c>
      <c r="R13" s="20">
        <v>0</v>
      </c>
      <c r="S13" s="19" t="str">
        <v/>
      </c>
      <c r="T13" s="29">
        <v>0</v>
      </c>
      <c r="U13" s="20">
        <v>0</v>
      </c>
      <c r="V13" s="19" t="str">
        <v/>
      </c>
      <c r="W13" s="30">
        <v>0</v>
      </c>
      <c r="X13" s="20">
        <v>0</v>
      </c>
      <c r="Y13" s="19" t="str">
        <v/>
      </c>
      <c r="Z13" s="24" t="str">
        <v/>
      </c>
      <c r="AA13" s="24" t="str">
        <v/>
      </c>
      <c r="AB13" s="23" t="str">
        <v>SIM-008</v>
      </c>
      <c r="AC13" s="23" t="str">
        <v>sim-008</v>
      </c>
    </row>
    <row r="14">
      <c r="A14" s="10" t="str">
        <f>IF(OR($O14&gt;0,COUNTIF('CONTROL_PENDIENTES'!$A$5:$A$8,"GLOBAL")&gt;0,COUNTIF(INDEX('MATRIZ_DIARIA_SABANA'!$F$6:$AJ$60,MATCH($AB14,'MATRIZ_DIARIA_SABANA'!$B$6:$B$60,0),0),"~?")&gt;0,AND($R14&lt;&gt;0,LEN(TRIM($S14))=0),AND($U14&lt;&gt;0,LEN(TRIM($V14))=0),AND($X14&lt;&gt;0,LEN(TRIM($Y14))=0),$I14&lt;0,$J14&lt;0,$N14&lt;0),"BLOQUEADO","LISTO PARA REVISIÓN RR. HH.")</f>
        <v>LISTO PARA REVISIÓN RR. HH.</v>
      </c>
      <c r="B14" s="11" t="str">
        <v>FICTICIO-009</v>
      </c>
      <c r="C14" s="12" t="str">
        <v>PERSONA SIMULADA 09</v>
      </c>
      <c r="D14" s="13" t="str">
        <v>Instalación</v>
      </c>
      <c r="E14" s="11" t="str">
        <v>CC-INST — Instalaciones</v>
      </c>
      <c r="F14" s="12" t="str">
        <v>L-V 08:00-17:00</v>
      </c>
      <c r="G14" s="14">
        <f>COUNTIF(INDEX('MATRIZ_DIARIA_SABANA'!$F$6:$AJ$60,MATCH($AB14,'MATRIZ_DIARIA_SABANA'!$B$6:$B$60,0),0),"P")</f>
        <v>21</v>
      </c>
      <c r="H14" s="15">
        <v>0</v>
      </c>
      <c r="I14" s="15">
        <f>Q14+R14/1440</f>
        <v>0</v>
      </c>
      <c r="J14" s="15">
        <f>T14+U14/1440</f>
        <v>0</v>
      </c>
      <c r="K14" s="15">
        <v>0</v>
      </c>
      <c r="L14" s="15">
        <v>0</v>
      </c>
      <c r="M14" s="14">
        <v>0</v>
      </c>
      <c r="N14" s="16">
        <f>W14+X14</f>
        <v>0</v>
      </c>
      <c r="O14" s="14">
        <v>0</v>
      </c>
      <c r="P14" s="12" t="str">
        <v/>
      </c>
      <c r="Q14" s="17">
        <v>0</v>
      </c>
      <c r="R14" s="20">
        <v>0</v>
      </c>
      <c r="S14" s="19" t="str">
        <v/>
      </c>
      <c r="T14" s="17">
        <v>0</v>
      </c>
      <c r="U14" s="20">
        <v>0</v>
      </c>
      <c r="V14" s="19" t="str">
        <v/>
      </c>
      <c r="W14" s="21">
        <v>0</v>
      </c>
      <c r="X14" s="20">
        <v>0</v>
      </c>
      <c r="Y14" s="19" t="str">
        <v/>
      </c>
      <c r="Z14" s="12" t="str">
        <v/>
      </c>
      <c r="AA14" s="12" t="str">
        <v/>
      </c>
      <c r="AB14" s="11" t="str">
        <v>SIM-009</v>
      </c>
      <c r="AC14" s="11" t="str">
        <v>sim-009</v>
      </c>
    </row>
    <row r="15">
      <c r="A15" s="22" t="str">
        <f>IF(OR($O15&gt;0,COUNTIF('CONTROL_PENDIENTES'!$A$5:$A$8,"GLOBAL")&gt;0,COUNTIF(INDEX('MATRIZ_DIARIA_SABANA'!$F$6:$AJ$60,MATCH($AB15,'MATRIZ_DIARIA_SABANA'!$B$6:$B$60,0),0),"~?")&gt;0,AND($R15&lt;&gt;0,LEN(TRIM($S15))=0),AND($U15&lt;&gt;0,LEN(TRIM($V15))=0),AND($X15&lt;&gt;0,LEN(TRIM($Y15))=0),$I15&lt;0,$J15&lt;0,$N15&lt;0),"BLOQUEADO","LISTO PARA REVISIÓN RR. HH.")</f>
        <v>LISTO PARA REVISIÓN RR. HH.</v>
      </c>
      <c r="B15" s="23" t="str">
        <v>FICTICIO-010</v>
      </c>
      <c r="C15" s="24" t="str">
        <v>PERSONA SIMULADA 10</v>
      </c>
      <c r="D15" s="25" t="str">
        <v>Producción</v>
      </c>
      <c r="E15" s="23" t="str">
        <v>CC-PROD — Producción</v>
      </c>
      <c r="F15" s="24" t="str">
        <v>L-V 08:00-17:00</v>
      </c>
      <c r="G15" s="26">
        <f>COUNTIF(INDEX('MATRIZ_DIARIA_SABANA'!$F$6:$AJ$60,MATCH($AB15,'MATRIZ_DIARIA_SABANA'!$B$6:$B$60,0),0),"P")</f>
        <v>21</v>
      </c>
      <c r="H15" s="27">
        <v>0</v>
      </c>
      <c r="I15" s="27">
        <f>Q15+R15/1440</f>
        <v>0</v>
      </c>
      <c r="J15" s="27">
        <f>T15+U15/1440</f>
        <v>0</v>
      </c>
      <c r="K15" s="27">
        <v>0</v>
      </c>
      <c r="L15" s="27">
        <v>0</v>
      </c>
      <c r="M15" s="26">
        <v>0</v>
      </c>
      <c r="N15" s="28">
        <f>W15+X15</f>
        <v>0</v>
      </c>
      <c r="O15" s="26">
        <v>0</v>
      </c>
      <c r="P15" s="24" t="str">
        <v/>
      </c>
      <c r="Q15" s="29">
        <v>0</v>
      </c>
      <c r="R15" s="20">
        <v>0</v>
      </c>
      <c r="S15" s="19" t="str">
        <v/>
      </c>
      <c r="T15" s="29">
        <v>0</v>
      </c>
      <c r="U15" s="20">
        <v>0</v>
      </c>
      <c r="V15" s="19" t="str">
        <v/>
      </c>
      <c r="W15" s="30">
        <v>0</v>
      </c>
      <c r="X15" s="20">
        <v>0</v>
      </c>
      <c r="Y15" s="19" t="str">
        <v/>
      </c>
      <c r="Z15" s="24" t="str">
        <v/>
      </c>
      <c r="AA15" s="24" t="str">
        <v/>
      </c>
      <c r="AB15" s="23" t="str">
        <v>SIM-010</v>
      </c>
      <c r="AC15" s="23" t="str">
        <v>sim-010</v>
      </c>
    </row>
    <row r="16">
      <c r="A16" s="10" t="str">
        <f>IF(OR($O16&gt;0,COUNTIF('CONTROL_PENDIENTES'!$A$5:$A$8,"GLOBAL")&gt;0,COUNTIF(INDEX('MATRIZ_DIARIA_SABANA'!$F$6:$AJ$60,MATCH($AB16,'MATRIZ_DIARIA_SABANA'!$B$6:$B$60,0),0),"~?")&gt;0,AND($R16&lt;&gt;0,LEN(TRIM($S16))=0),AND($U16&lt;&gt;0,LEN(TRIM($V16))=0),AND($X16&lt;&gt;0,LEN(TRIM($Y16))=0),$I16&lt;0,$J16&lt;0,$N16&lt;0),"BLOQUEADO","LISTO PARA REVISIÓN RR. HH.")</f>
        <v>LISTO PARA REVISIÓN RR. HH.</v>
      </c>
      <c r="B16" s="11" t="str">
        <v>FICTICIO-011</v>
      </c>
      <c r="C16" s="12" t="str">
        <v>PERSONA SIMULADA 11</v>
      </c>
      <c r="D16" s="13" t="str">
        <v>Administración</v>
      </c>
      <c r="E16" s="11" t="str">
        <v>CC-ADM — Administración</v>
      </c>
      <c r="F16" s="12" t="str">
        <v>L-V 08:30-17:30</v>
      </c>
      <c r="G16" s="14">
        <f>COUNTIF(INDEX('MATRIZ_DIARIA_SABANA'!$F$6:$AJ$60,MATCH($AB16,'MATRIZ_DIARIA_SABANA'!$B$6:$B$60,0),0),"P")</f>
        <v>21</v>
      </c>
      <c r="H16" s="15">
        <v>0</v>
      </c>
      <c r="I16" s="15">
        <f>Q16+R16/1440</f>
        <v>0</v>
      </c>
      <c r="J16" s="15">
        <f>T16+U16/1440</f>
        <v>0</v>
      </c>
      <c r="K16" s="15">
        <v>0</v>
      </c>
      <c r="L16" s="15">
        <v>0</v>
      </c>
      <c r="M16" s="14">
        <v>0</v>
      </c>
      <c r="N16" s="16">
        <f>W16+X16</f>
        <v>0</v>
      </c>
      <c r="O16" s="14">
        <v>0</v>
      </c>
      <c r="P16" s="12" t="str">
        <v/>
      </c>
      <c r="Q16" s="17">
        <v>0</v>
      </c>
      <c r="R16" s="20">
        <v>0</v>
      </c>
      <c r="S16" s="19" t="str">
        <v/>
      </c>
      <c r="T16" s="17">
        <v>0</v>
      </c>
      <c r="U16" s="20">
        <v>0</v>
      </c>
      <c r="V16" s="19" t="str">
        <v/>
      </c>
      <c r="W16" s="21">
        <v>0</v>
      </c>
      <c r="X16" s="20">
        <v>0</v>
      </c>
      <c r="Y16" s="19" t="str">
        <v/>
      </c>
      <c r="Z16" s="12" t="str">
        <v/>
      </c>
      <c r="AA16" s="12" t="str">
        <v/>
      </c>
      <c r="AB16" s="11" t="str">
        <v>SIM-011</v>
      </c>
      <c r="AC16" s="11" t="str">
        <v>sim-011</v>
      </c>
    </row>
    <row r="17">
      <c r="A17" s="22" t="str">
        <f>IF(OR($O17&gt;0,COUNTIF('CONTROL_PENDIENTES'!$A$5:$A$8,"GLOBAL")&gt;0,COUNTIF(INDEX('MATRIZ_DIARIA_SABANA'!$F$6:$AJ$60,MATCH($AB17,'MATRIZ_DIARIA_SABANA'!$B$6:$B$60,0),0),"~?")&gt;0,AND($R17&lt;&gt;0,LEN(TRIM($S17))=0),AND($U17&lt;&gt;0,LEN(TRIM($V17))=0),AND($X17&lt;&gt;0,LEN(TRIM($Y17))=0),$I17&lt;0,$J17&lt;0,$N17&lt;0),"BLOQUEADO","LISTO PARA REVISIÓN RR. HH.")</f>
        <v>LISTO PARA REVISIÓN RR. HH.</v>
      </c>
      <c r="B17" s="23" t="str">
        <v>FICTICIO-012</v>
      </c>
      <c r="C17" s="24" t="str">
        <v>PERSONA SIMULADA 12</v>
      </c>
      <c r="D17" s="25" t="str">
        <v>Instalación</v>
      </c>
      <c r="E17" s="23" t="str">
        <v>CC-INST — Instalaciones</v>
      </c>
      <c r="F17" s="24" t="str">
        <v>L-V 08:00-17:00</v>
      </c>
      <c r="G17" s="26">
        <f>COUNTIF(INDEX('MATRIZ_DIARIA_SABANA'!$F$6:$AJ$60,MATCH($AB17,'MATRIZ_DIARIA_SABANA'!$B$6:$B$60,0),0),"P")</f>
        <v>21</v>
      </c>
      <c r="H17" s="27">
        <v>0</v>
      </c>
      <c r="I17" s="27">
        <f>Q17+R17/1440</f>
        <v>0</v>
      </c>
      <c r="J17" s="27">
        <f>T17+U17/1440</f>
        <v>0</v>
      </c>
      <c r="K17" s="27">
        <v>0</v>
      </c>
      <c r="L17" s="27">
        <v>0</v>
      </c>
      <c r="M17" s="26">
        <v>0</v>
      </c>
      <c r="N17" s="28">
        <f>W17+X17</f>
        <v>0</v>
      </c>
      <c r="O17" s="26">
        <v>0</v>
      </c>
      <c r="P17" s="24" t="str">
        <v/>
      </c>
      <c r="Q17" s="29">
        <v>0</v>
      </c>
      <c r="R17" s="20">
        <v>0</v>
      </c>
      <c r="S17" s="19" t="str">
        <v/>
      </c>
      <c r="T17" s="29">
        <v>0</v>
      </c>
      <c r="U17" s="20">
        <v>0</v>
      </c>
      <c r="V17" s="19" t="str">
        <v/>
      </c>
      <c r="W17" s="30">
        <v>0</v>
      </c>
      <c r="X17" s="20">
        <v>0</v>
      </c>
      <c r="Y17" s="19" t="str">
        <v/>
      </c>
      <c r="Z17" s="24" t="str">
        <v/>
      </c>
      <c r="AA17" s="24" t="str">
        <v/>
      </c>
      <c r="AB17" s="23" t="str">
        <v>SIM-012</v>
      </c>
      <c r="AC17" s="23" t="str">
        <v>sim-012</v>
      </c>
    </row>
    <row r="18">
      <c r="A18" s="10" t="str">
        <f>IF(OR($O18&gt;0,COUNTIF('CONTROL_PENDIENTES'!$A$5:$A$8,"GLOBAL")&gt;0,COUNTIF(INDEX('MATRIZ_DIARIA_SABANA'!$F$6:$AJ$60,MATCH($AB18,'MATRIZ_DIARIA_SABANA'!$B$6:$B$60,0),0),"~?")&gt;0,AND($R18&lt;&gt;0,LEN(TRIM($S18))=0),AND($U18&lt;&gt;0,LEN(TRIM($V18))=0),AND($X18&lt;&gt;0,LEN(TRIM($Y18))=0),$I18&lt;0,$J18&lt;0,$N18&lt;0),"BLOQUEADO","LISTO PARA REVISIÓN RR. HH.")</f>
        <v>BLOQUEADO</v>
      </c>
      <c r="B18" s="11" t="str">
        <v>FICTICIO-013</v>
      </c>
      <c r="C18" s="12" t="str">
        <v>PERSONA SIMULADA 13</v>
      </c>
      <c r="D18" s="13" t="str">
        <v>Producción</v>
      </c>
      <c r="E18" s="11" t="str">
        <v>CC-PROD — Producción</v>
      </c>
      <c r="F18" s="12" t="str">
        <v>L-V 08:00-17:00</v>
      </c>
      <c r="G18" s="14">
        <f>COUNTIF(INDEX('MATRIZ_DIARIA_SABANA'!$F$6:$AJ$60,MATCH($AB18,'MATRIZ_DIARIA_SABANA'!$B$6:$B$60,0),0),"P")</f>
        <v>22</v>
      </c>
      <c r="H18" s="15">
        <v>0</v>
      </c>
      <c r="I18" s="15">
        <f>Q18+R18/1440</f>
        <v>0</v>
      </c>
      <c r="J18" s="15">
        <f>T18+U18/1440</f>
        <v>0</v>
      </c>
      <c r="K18" s="15">
        <v>0</v>
      </c>
      <c r="L18" s="15">
        <v>0</v>
      </c>
      <c r="M18" s="14">
        <v>0</v>
      </c>
      <c r="N18" s="16">
        <f>W18+X18</f>
        <v>0</v>
      </c>
      <c r="O18" s="14">
        <v>1</v>
      </c>
      <c r="P18" s="12" t="str">
        <v>Salidas anticipadas por decidir: 1</v>
      </c>
      <c r="Q18" s="17">
        <v>0</v>
      </c>
      <c r="R18" s="20">
        <v>0</v>
      </c>
      <c r="S18" s="19" t="str">
        <v/>
      </c>
      <c r="T18" s="17">
        <v>0</v>
      </c>
      <c r="U18" s="20">
        <v>0</v>
      </c>
      <c r="V18" s="19" t="str">
        <v/>
      </c>
      <c r="W18" s="21">
        <v>0</v>
      </c>
      <c r="X18" s="20">
        <v>0</v>
      </c>
      <c r="Y18" s="19" t="str">
        <v/>
      </c>
      <c r="Z18" s="12" t="str">
        <v/>
      </c>
      <c r="AA18" s="12" t="str">
        <v>10/08</v>
      </c>
      <c r="AB18" s="11" t="str">
        <v>SIM-013</v>
      </c>
      <c r="AC18" s="11" t="str">
        <v>sim-013</v>
      </c>
    </row>
    <row r="19">
      <c r="A19" s="22" t="str">
        <f>IF(OR($O19&gt;0,COUNTIF('CONTROL_PENDIENTES'!$A$5:$A$8,"GLOBAL")&gt;0,COUNTIF(INDEX('MATRIZ_DIARIA_SABANA'!$F$6:$AJ$60,MATCH($AB19,'MATRIZ_DIARIA_SABANA'!$B$6:$B$60,0),0),"~?")&gt;0,AND($R19&lt;&gt;0,LEN(TRIM($S19))=0),AND($U19&lt;&gt;0,LEN(TRIM($V19))=0),AND($X19&lt;&gt;0,LEN(TRIM($Y19))=0),$I19&lt;0,$J19&lt;0,$N19&lt;0),"BLOQUEADO","LISTO PARA REVISIÓN RR. HH.")</f>
        <v>BLOQUEADO</v>
      </c>
      <c r="B19" s="23" t="str">
        <v>FICTICIO-014</v>
      </c>
      <c r="C19" s="24" t="str">
        <v>PERSONA SIMULADA 14</v>
      </c>
      <c r="D19" s="25" t="str">
        <v>Administración</v>
      </c>
      <c r="E19" s="23" t="str">
        <v>CC-ADM — Administración</v>
      </c>
      <c r="F19" s="24" t="str">
        <v>L-V 08:30-17:30</v>
      </c>
      <c r="G19" s="26">
        <f>COUNTIF(INDEX('MATRIZ_DIARIA_SABANA'!$F$6:$AJ$60,MATCH($AB19,'MATRIZ_DIARIA_SABANA'!$B$6:$B$60,0),0),"P")</f>
        <v>21</v>
      </c>
      <c r="H19" s="27">
        <v>0</v>
      </c>
      <c r="I19" s="27">
        <f>Q19+R19/1440</f>
        <v>0</v>
      </c>
      <c r="J19" s="27">
        <f>T19+U19/1440</f>
        <v>0</v>
      </c>
      <c r="K19" s="27">
        <v>0</v>
      </c>
      <c r="L19" s="27">
        <v>0</v>
      </c>
      <c r="M19" s="26">
        <v>0</v>
      </c>
      <c r="N19" s="28">
        <f>W19+X19</f>
        <v>0</v>
      </c>
      <c r="O19" s="26">
        <v>1</v>
      </c>
      <c r="P19" s="24" t="str">
        <v>Marcaciones incompletas por resolver: 1</v>
      </c>
      <c r="Q19" s="29">
        <v>0</v>
      </c>
      <c r="R19" s="20">
        <v>0</v>
      </c>
      <c r="S19" s="19" t="str">
        <v/>
      </c>
      <c r="T19" s="29">
        <v>0</v>
      </c>
      <c r="U19" s="20">
        <v>0</v>
      </c>
      <c r="V19" s="19" t="str">
        <v/>
      </c>
      <c r="W19" s="30">
        <v>0</v>
      </c>
      <c r="X19" s="20">
        <v>0</v>
      </c>
      <c r="Y19" s="19" t="str">
        <v/>
      </c>
      <c r="Z19" s="24" t="str">
        <v/>
      </c>
      <c r="AA19" s="24" t="str">
        <v>11/08</v>
      </c>
      <c r="AB19" s="23" t="str">
        <v>SIM-014</v>
      </c>
      <c r="AC19" s="23" t="str">
        <v>sim-014</v>
      </c>
    </row>
    <row r="20">
      <c r="A20" s="10" t="str">
        <f>IF(OR($O20&gt;0,COUNTIF('CONTROL_PENDIENTES'!$A$5:$A$8,"GLOBAL")&gt;0,COUNTIF(INDEX('MATRIZ_DIARIA_SABANA'!$F$6:$AJ$60,MATCH($AB20,'MATRIZ_DIARIA_SABANA'!$B$6:$B$60,0),0),"~?")&gt;0,AND($R20&lt;&gt;0,LEN(TRIM($S20))=0),AND($U20&lt;&gt;0,LEN(TRIM($V20))=0),AND($X20&lt;&gt;0,LEN(TRIM($Y20))=0),$I20&lt;0,$J20&lt;0,$N20&lt;0),"BLOQUEADO","LISTO PARA REVISIÓN RR. HH.")</f>
        <v>LISTO PARA REVISIÓN RR. HH.</v>
      </c>
      <c r="B20" s="11" t="str">
        <v>FICTICIO-015</v>
      </c>
      <c r="C20" s="12" t="str">
        <v>PERSONA SIMULADA 15</v>
      </c>
      <c r="D20" s="13" t="str">
        <v>Instalación</v>
      </c>
      <c r="E20" s="11" t="str">
        <v>CC-INST — Instalaciones</v>
      </c>
      <c r="F20" s="12" t="str">
        <v>L-V 08:00-17:00</v>
      </c>
      <c r="G20" s="14">
        <f>COUNTIF(INDEX('MATRIZ_DIARIA_SABANA'!$F$6:$AJ$60,MATCH($AB20,'MATRIZ_DIARIA_SABANA'!$B$6:$B$60,0),0),"P")</f>
        <v>22</v>
      </c>
      <c r="H20" s="15">
        <v>0</v>
      </c>
      <c r="I20" s="15">
        <f>Q20+R20/1440</f>
        <v>0</v>
      </c>
      <c r="J20" s="15">
        <f>T20+U20/1440</f>
        <v>0</v>
      </c>
      <c r="K20" s="15">
        <v>0</v>
      </c>
      <c r="L20" s="15">
        <v>0</v>
      </c>
      <c r="M20" s="14">
        <v>0</v>
      </c>
      <c r="N20" s="16">
        <f>W20+X20</f>
        <v>0</v>
      </c>
      <c r="O20" s="14">
        <v>0</v>
      </c>
      <c r="P20" s="12" t="str">
        <v/>
      </c>
      <c r="Q20" s="17">
        <v>0</v>
      </c>
      <c r="R20" s="20">
        <v>0</v>
      </c>
      <c r="S20" s="19" t="str">
        <v/>
      </c>
      <c r="T20" s="17">
        <v>0</v>
      </c>
      <c r="U20" s="20">
        <v>0</v>
      </c>
      <c r="V20" s="19" t="str">
        <v/>
      </c>
      <c r="W20" s="21">
        <v>0</v>
      </c>
      <c r="X20" s="20">
        <v>0</v>
      </c>
      <c r="Y20" s="19" t="str">
        <v/>
      </c>
      <c r="Z20" s="12" t="str">
        <v/>
      </c>
      <c r="AA20" s="12" t="str">
        <v/>
      </c>
      <c r="AB20" s="11" t="str">
        <v>SIM-015</v>
      </c>
      <c r="AC20" s="11" t="str">
        <v>sim-015</v>
      </c>
    </row>
    <row r="21">
      <c r="A21" s="22" t="str">
        <f>IF(OR($O21&gt;0,COUNTIF('CONTROL_PENDIENTES'!$A$5:$A$8,"GLOBAL")&gt;0,COUNTIF(INDEX('MATRIZ_DIARIA_SABANA'!$F$6:$AJ$60,MATCH($AB21,'MATRIZ_DIARIA_SABANA'!$B$6:$B$60,0),0),"~?")&gt;0,AND($R21&lt;&gt;0,LEN(TRIM($S21))=0),AND($U21&lt;&gt;0,LEN(TRIM($V21))=0),AND($X21&lt;&gt;0,LEN(TRIM($Y21))=0),$I21&lt;0,$J21&lt;0,$N21&lt;0),"BLOQUEADO","LISTO PARA REVISIÓN RR. HH.")</f>
        <v>LISTO PARA REVISIÓN RR. HH.</v>
      </c>
      <c r="B21" s="23" t="str">
        <v>FICTICIO-016</v>
      </c>
      <c r="C21" s="24" t="str">
        <v>PERSONA SIMULADA 16</v>
      </c>
      <c r="D21" s="25" t="str">
        <v>Producción</v>
      </c>
      <c r="E21" s="23" t="str">
        <v>CC-PROD — Producción</v>
      </c>
      <c r="F21" s="24" t="str">
        <v>L-V 08:00-17:00</v>
      </c>
      <c r="G21" s="26">
        <f>COUNTIF(INDEX('MATRIZ_DIARIA_SABANA'!$F$6:$AJ$60,MATCH($AB21,'MATRIZ_DIARIA_SABANA'!$B$6:$B$60,0),0),"P")</f>
        <v>22</v>
      </c>
      <c r="H21" s="27">
        <v>0</v>
      </c>
      <c r="I21" s="27">
        <f>Q21+R21/1440</f>
        <v>0</v>
      </c>
      <c r="J21" s="27">
        <f>T21+U21/1440</f>
        <v>0</v>
      </c>
      <c r="K21" s="27">
        <v>0</v>
      </c>
      <c r="L21" s="27">
        <v>0</v>
      </c>
      <c r="M21" s="26">
        <v>0</v>
      </c>
      <c r="N21" s="28">
        <f>W21+X21</f>
        <v>0</v>
      </c>
      <c r="O21" s="26">
        <v>0</v>
      </c>
      <c r="P21" s="24" t="str">
        <v/>
      </c>
      <c r="Q21" s="29">
        <v>0</v>
      </c>
      <c r="R21" s="20">
        <v>0</v>
      </c>
      <c r="S21" s="19" t="str">
        <v/>
      </c>
      <c r="T21" s="29">
        <v>0</v>
      </c>
      <c r="U21" s="20">
        <v>0</v>
      </c>
      <c r="V21" s="19" t="str">
        <v/>
      </c>
      <c r="W21" s="30">
        <v>0</v>
      </c>
      <c r="X21" s="20">
        <v>0</v>
      </c>
      <c r="Y21" s="19" t="str">
        <v/>
      </c>
      <c r="Z21" s="24" t="str">
        <v/>
      </c>
      <c r="AA21" s="24" t="str">
        <v/>
      </c>
      <c r="AB21" s="23" t="str">
        <v>SIM-016</v>
      </c>
      <c r="AC21" s="23" t="str">
        <v>sim-016</v>
      </c>
    </row>
    <row r="22">
      <c r="A22" s="10" t="str">
        <f>IF(OR($O22&gt;0,COUNTIF('CONTROL_PENDIENTES'!$A$5:$A$8,"GLOBAL")&gt;0,COUNTIF(INDEX('MATRIZ_DIARIA_SABANA'!$F$6:$AJ$60,MATCH($AB22,'MATRIZ_DIARIA_SABANA'!$B$6:$B$60,0),0),"~?")&gt;0,AND($R22&lt;&gt;0,LEN(TRIM($S22))=0),AND($U22&lt;&gt;0,LEN(TRIM($V22))=0),AND($X22&lt;&gt;0,LEN(TRIM($Y22))=0),$I22&lt;0,$J22&lt;0,$N22&lt;0),"BLOQUEADO","LISTO PARA REVISIÓN RR. HH.")</f>
        <v>LISTO PARA REVISIÓN RR. HH.</v>
      </c>
      <c r="B22" s="11" t="str">
        <v>FICTICIO-017</v>
      </c>
      <c r="C22" s="12" t="str">
        <v>PERSONA SIMULADA 17</v>
      </c>
      <c r="D22" s="13" t="str">
        <v>Administración</v>
      </c>
      <c r="E22" s="11" t="str">
        <v>CC-ADM — Administración</v>
      </c>
      <c r="F22" s="12" t="str">
        <v>L-V 08:30-17:30</v>
      </c>
      <c r="G22" s="14">
        <f>COUNTIF(INDEX('MATRIZ_DIARIA_SABANA'!$F$6:$AJ$60,MATCH($AB22,'MATRIZ_DIARIA_SABANA'!$B$6:$B$60,0),0),"P")</f>
        <v>22</v>
      </c>
      <c r="H22" s="15">
        <v>0</v>
      </c>
      <c r="I22" s="15">
        <f>Q22+R22/1440</f>
        <v>0</v>
      </c>
      <c r="J22" s="15">
        <f>T22+U22/1440</f>
        <v>0</v>
      </c>
      <c r="K22" s="15">
        <v>0</v>
      </c>
      <c r="L22" s="15">
        <v>0</v>
      </c>
      <c r="M22" s="14">
        <v>0</v>
      </c>
      <c r="N22" s="16">
        <f>W22+X22</f>
        <v>0</v>
      </c>
      <c r="O22" s="14">
        <v>0</v>
      </c>
      <c r="P22" s="12" t="str">
        <v/>
      </c>
      <c r="Q22" s="17">
        <v>0</v>
      </c>
      <c r="R22" s="20">
        <v>0</v>
      </c>
      <c r="S22" s="19" t="str">
        <v/>
      </c>
      <c r="T22" s="17">
        <v>0</v>
      </c>
      <c r="U22" s="20">
        <v>0</v>
      </c>
      <c r="V22" s="19" t="str">
        <v/>
      </c>
      <c r="W22" s="21">
        <v>0</v>
      </c>
      <c r="X22" s="20">
        <v>0</v>
      </c>
      <c r="Y22" s="19" t="str">
        <v/>
      </c>
      <c r="Z22" s="12" t="str">
        <v/>
      </c>
      <c r="AA22" s="12" t="str">
        <v/>
      </c>
      <c r="AB22" s="11" t="str">
        <v>SIM-017</v>
      </c>
      <c r="AC22" s="11" t="str">
        <v>sim-017</v>
      </c>
    </row>
    <row r="23">
      <c r="A23" s="22" t="str">
        <f>IF(OR($O23&gt;0,COUNTIF('CONTROL_PENDIENTES'!$A$5:$A$8,"GLOBAL")&gt;0,COUNTIF(INDEX('MATRIZ_DIARIA_SABANA'!$F$6:$AJ$60,MATCH($AB23,'MATRIZ_DIARIA_SABANA'!$B$6:$B$60,0),0),"~?")&gt;0,AND($R23&lt;&gt;0,LEN(TRIM($S23))=0),AND($U23&lt;&gt;0,LEN(TRIM($V23))=0),AND($X23&lt;&gt;0,LEN(TRIM($Y23))=0),$I23&lt;0,$J23&lt;0,$N23&lt;0),"BLOQUEADO","LISTO PARA REVISIÓN RR. HH.")</f>
        <v>LISTO PARA REVISIÓN RR. HH.</v>
      </c>
      <c r="B23" s="23" t="str">
        <v>FICTICIO-018</v>
      </c>
      <c r="C23" s="24" t="str">
        <v>PERSONA SIMULADA 18</v>
      </c>
      <c r="D23" s="25" t="str">
        <v>Instalación</v>
      </c>
      <c r="E23" s="23" t="str">
        <v>CC-INST — Instalaciones</v>
      </c>
      <c r="F23" s="24" t="str">
        <v>L-V 08:00-17:00</v>
      </c>
      <c r="G23" s="26">
        <f>COUNTIF(INDEX('MATRIZ_DIARIA_SABANA'!$F$6:$AJ$60,MATCH($AB23,'MATRIZ_DIARIA_SABANA'!$B$6:$B$60,0),0),"P")</f>
        <v>22</v>
      </c>
      <c r="H23" s="27">
        <v>0</v>
      </c>
      <c r="I23" s="27">
        <f>Q23+R23/1440</f>
        <v>0</v>
      </c>
      <c r="J23" s="27">
        <f>T23+U23/1440</f>
        <v>0</v>
      </c>
      <c r="K23" s="27">
        <v>0</v>
      </c>
      <c r="L23" s="27">
        <v>0</v>
      </c>
      <c r="M23" s="26">
        <v>0</v>
      </c>
      <c r="N23" s="28">
        <f>W23+X23</f>
        <v>0</v>
      </c>
      <c r="O23" s="26">
        <v>0</v>
      </c>
      <c r="P23" s="24" t="str">
        <v/>
      </c>
      <c r="Q23" s="29">
        <v>0</v>
      </c>
      <c r="R23" s="20">
        <v>0</v>
      </c>
      <c r="S23" s="19" t="str">
        <v/>
      </c>
      <c r="T23" s="29">
        <v>0</v>
      </c>
      <c r="U23" s="20">
        <v>0</v>
      </c>
      <c r="V23" s="19" t="str">
        <v/>
      </c>
      <c r="W23" s="30">
        <v>0</v>
      </c>
      <c r="X23" s="20">
        <v>0</v>
      </c>
      <c r="Y23" s="19" t="str">
        <v/>
      </c>
      <c r="Z23" s="24" t="str">
        <v/>
      </c>
      <c r="AA23" s="24" t="str">
        <v/>
      </c>
      <c r="AB23" s="23" t="str">
        <v>SIM-018</v>
      </c>
      <c r="AC23" s="23" t="str">
        <v>sim-018</v>
      </c>
    </row>
    <row r="24">
      <c r="A24" s="10" t="str">
        <f>IF(OR($O24&gt;0,COUNTIF('CONTROL_PENDIENTES'!$A$5:$A$8,"GLOBAL")&gt;0,COUNTIF(INDEX('MATRIZ_DIARIA_SABANA'!$F$6:$AJ$60,MATCH($AB24,'MATRIZ_DIARIA_SABANA'!$B$6:$B$60,0),0),"~?")&gt;0,AND($R24&lt;&gt;0,LEN(TRIM($S24))=0),AND($U24&lt;&gt;0,LEN(TRIM($V24))=0),AND($X24&lt;&gt;0,LEN(TRIM($Y24))=0),$I24&lt;0,$J24&lt;0,$N24&lt;0),"BLOQUEADO","LISTO PARA REVISIÓN RR. HH.")</f>
        <v>LISTO PARA REVISIÓN RR. HH.</v>
      </c>
      <c r="B24" s="11" t="str">
        <v>FICTICIO-019</v>
      </c>
      <c r="C24" s="12" t="str">
        <v>PERSONA SIMULADA 19</v>
      </c>
      <c r="D24" s="13" t="str">
        <v>Producción</v>
      </c>
      <c r="E24" s="11" t="str">
        <v>CC-PROD — Producción</v>
      </c>
      <c r="F24" s="12" t="str">
        <v>L-V 08:00-17:00</v>
      </c>
      <c r="G24" s="14">
        <f>COUNTIF(INDEX('MATRIZ_DIARIA_SABANA'!$F$6:$AJ$60,MATCH($AB24,'MATRIZ_DIARIA_SABANA'!$B$6:$B$60,0),0),"P")</f>
        <v>22</v>
      </c>
      <c r="H24" s="15">
        <v>0</v>
      </c>
      <c r="I24" s="15">
        <f>Q24+R24/1440</f>
        <v>0</v>
      </c>
      <c r="J24" s="15">
        <f>T24+U24/1440</f>
        <v>0</v>
      </c>
      <c r="K24" s="15">
        <v>0</v>
      </c>
      <c r="L24" s="15">
        <v>0</v>
      </c>
      <c r="M24" s="14">
        <v>0</v>
      </c>
      <c r="N24" s="16">
        <f>W24+X24</f>
        <v>0</v>
      </c>
      <c r="O24" s="14">
        <v>0</v>
      </c>
      <c r="P24" s="12" t="str">
        <v/>
      </c>
      <c r="Q24" s="17">
        <v>0</v>
      </c>
      <c r="R24" s="20">
        <v>0</v>
      </c>
      <c r="S24" s="19" t="str">
        <v/>
      </c>
      <c r="T24" s="17">
        <v>0</v>
      </c>
      <c r="U24" s="20">
        <v>0</v>
      </c>
      <c r="V24" s="19" t="str">
        <v/>
      </c>
      <c r="W24" s="21">
        <v>0</v>
      </c>
      <c r="X24" s="20">
        <v>0</v>
      </c>
      <c r="Y24" s="19" t="str">
        <v/>
      </c>
      <c r="Z24" s="12" t="str">
        <v/>
      </c>
      <c r="AA24" s="12" t="str">
        <v/>
      </c>
      <c r="AB24" s="11" t="str">
        <v>SIM-019</v>
      </c>
      <c r="AC24" s="11" t="str">
        <v>sim-019</v>
      </c>
    </row>
    <row r="25">
      <c r="A25" s="22" t="str">
        <f>IF(OR($O25&gt;0,COUNTIF('CONTROL_PENDIENTES'!$A$5:$A$8,"GLOBAL")&gt;0,COUNTIF(INDEX('MATRIZ_DIARIA_SABANA'!$F$6:$AJ$60,MATCH($AB25,'MATRIZ_DIARIA_SABANA'!$B$6:$B$60,0),0),"~?")&gt;0,AND($R25&lt;&gt;0,LEN(TRIM($S25))=0),AND($U25&lt;&gt;0,LEN(TRIM($V25))=0),AND($X25&lt;&gt;0,LEN(TRIM($Y25))=0),$I25&lt;0,$J25&lt;0,$N25&lt;0),"BLOQUEADO","LISTO PARA REVISIÓN RR. HH.")</f>
        <v>LISTO PARA REVISIÓN RR. HH.</v>
      </c>
      <c r="B25" s="23" t="str">
        <v>FICTICIO-020</v>
      </c>
      <c r="C25" s="24" t="str">
        <v>PERSONA SIMULADA 20</v>
      </c>
      <c r="D25" s="25" t="str">
        <v>Administración</v>
      </c>
      <c r="E25" s="23" t="str">
        <v>CC-ADM — Administración</v>
      </c>
      <c r="F25" s="24" t="str">
        <v>L-V 08:30-17:30</v>
      </c>
      <c r="G25" s="26">
        <f>COUNTIF(INDEX('MATRIZ_DIARIA_SABANA'!$F$6:$AJ$60,MATCH($AB25,'MATRIZ_DIARIA_SABANA'!$B$6:$B$60,0),0),"P")</f>
        <v>22</v>
      </c>
      <c r="H25" s="27">
        <v>0</v>
      </c>
      <c r="I25" s="27">
        <f>Q25+R25/1440</f>
        <v>0</v>
      </c>
      <c r="J25" s="27">
        <f>T25+U25/1440</f>
        <v>0</v>
      </c>
      <c r="K25" s="27">
        <v>0</v>
      </c>
      <c r="L25" s="27">
        <v>0</v>
      </c>
      <c r="M25" s="26">
        <v>0</v>
      </c>
      <c r="N25" s="28">
        <f>W25+X25</f>
        <v>0</v>
      </c>
      <c r="O25" s="26">
        <v>0</v>
      </c>
      <c r="P25" s="24" t="str">
        <v/>
      </c>
      <c r="Q25" s="29">
        <v>0</v>
      </c>
      <c r="R25" s="20">
        <v>0</v>
      </c>
      <c r="S25" s="19" t="str">
        <v/>
      </c>
      <c r="T25" s="29">
        <v>0</v>
      </c>
      <c r="U25" s="20">
        <v>0</v>
      </c>
      <c r="V25" s="19" t="str">
        <v/>
      </c>
      <c r="W25" s="30">
        <v>0</v>
      </c>
      <c r="X25" s="20">
        <v>0</v>
      </c>
      <c r="Y25" s="19" t="str">
        <v/>
      </c>
      <c r="Z25" s="24" t="str">
        <v/>
      </c>
      <c r="AA25" s="24" t="str">
        <v/>
      </c>
      <c r="AB25" s="23" t="str">
        <v>SIM-020</v>
      </c>
      <c r="AC25" s="23" t="str">
        <v>sim-020</v>
      </c>
    </row>
    <row r="26">
      <c r="A26" s="10" t="str">
        <f>IF(OR($O26&gt;0,COUNTIF('CONTROL_PENDIENTES'!$A$5:$A$8,"GLOBAL")&gt;0,COUNTIF(INDEX('MATRIZ_DIARIA_SABANA'!$F$6:$AJ$60,MATCH($AB26,'MATRIZ_DIARIA_SABANA'!$B$6:$B$60,0),0),"~?")&gt;0,AND($R26&lt;&gt;0,LEN(TRIM($S26))=0),AND($U26&lt;&gt;0,LEN(TRIM($V26))=0),AND($X26&lt;&gt;0,LEN(TRIM($Y26))=0),$I26&lt;0,$J26&lt;0,$N26&lt;0),"BLOQUEADO","LISTO PARA REVISIÓN RR. HH.")</f>
        <v>LISTO PARA REVISIÓN RR. HH.</v>
      </c>
      <c r="B26" s="11" t="str">
        <v>FICTICIO-021</v>
      </c>
      <c r="C26" s="12" t="str">
        <v>PERSONA SIMULADA 21</v>
      </c>
      <c r="D26" s="13" t="str">
        <v>Instalación</v>
      </c>
      <c r="E26" s="11" t="str">
        <v>CC-INST — Instalaciones</v>
      </c>
      <c r="F26" s="12" t="str">
        <v>L-V 08:00-17:00</v>
      </c>
      <c r="G26" s="14">
        <f>COUNTIF(INDEX('MATRIZ_DIARIA_SABANA'!$F$6:$AJ$60,MATCH($AB26,'MATRIZ_DIARIA_SABANA'!$B$6:$B$60,0),0),"P")</f>
        <v>22</v>
      </c>
      <c r="H26" s="15">
        <v>0</v>
      </c>
      <c r="I26" s="15">
        <f>Q26+R26/1440</f>
        <v>0</v>
      </c>
      <c r="J26" s="15">
        <f>T26+U26/1440</f>
        <v>0</v>
      </c>
      <c r="K26" s="15">
        <v>0</v>
      </c>
      <c r="L26" s="15">
        <v>0</v>
      </c>
      <c r="M26" s="14">
        <v>0</v>
      </c>
      <c r="N26" s="16">
        <f>W26+X26</f>
        <v>0</v>
      </c>
      <c r="O26" s="14">
        <v>0</v>
      </c>
      <c r="P26" s="12" t="str">
        <v/>
      </c>
      <c r="Q26" s="17">
        <v>0</v>
      </c>
      <c r="R26" s="20">
        <v>0</v>
      </c>
      <c r="S26" s="19" t="str">
        <v/>
      </c>
      <c r="T26" s="17">
        <v>0</v>
      </c>
      <c r="U26" s="20">
        <v>0</v>
      </c>
      <c r="V26" s="19" t="str">
        <v/>
      </c>
      <c r="W26" s="21">
        <v>0</v>
      </c>
      <c r="X26" s="20">
        <v>0</v>
      </c>
      <c r="Y26" s="19" t="str">
        <v/>
      </c>
      <c r="Z26" s="12" t="str">
        <v/>
      </c>
      <c r="AA26" s="12" t="str">
        <v/>
      </c>
      <c r="AB26" s="11" t="str">
        <v>SIM-021</v>
      </c>
      <c r="AC26" s="11" t="str">
        <v>sim-021</v>
      </c>
    </row>
    <row r="27">
      <c r="A27" s="22" t="str">
        <f>IF(OR($O27&gt;0,COUNTIF('CONTROL_PENDIENTES'!$A$5:$A$8,"GLOBAL")&gt;0,COUNTIF(INDEX('MATRIZ_DIARIA_SABANA'!$F$6:$AJ$60,MATCH($AB27,'MATRIZ_DIARIA_SABANA'!$B$6:$B$60,0),0),"~?")&gt;0,AND($R27&lt;&gt;0,LEN(TRIM($S27))=0),AND($U27&lt;&gt;0,LEN(TRIM($V27))=0),AND($X27&lt;&gt;0,LEN(TRIM($Y27))=0),$I27&lt;0,$J27&lt;0,$N27&lt;0),"BLOQUEADO","LISTO PARA REVISIÓN RR. HH.")</f>
        <v>LISTO PARA REVISIÓN RR. HH.</v>
      </c>
      <c r="B27" s="23" t="str">
        <v>FICTICIO-022</v>
      </c>
      <c r="C27" s="24" t="str">
        <v>PERSONA SIMULADA 22</v>
      </c>
      <c r="D27" s="25" t="str">
        <v>Producción</v>
      </c>
      <c r="E27" s="23" t="str">
        <v>CC-PROD — Producción</v>
      </c>
      <c r="F27" s="24" t="str">
        <v>L-V 08:00-17:00</v>
      </c>
      <c r="G27" s="26">
        <f>COUNTIF(INDEX('MATRIZ_DIARIA_SABANA'!$F$6:$AJ$60,MATCH($AB27,'MATRIZ_DIARIA_SABANA'!$B$6:$B$60,0),0),"P")</f>
        <v>22</v>
      </c>
      <c r="H27" s="27">
        <v>0</v>
      </c>
      <c r="I27" s="27">
        <f>Q27+R27/1440</f>
        <v>0</v>
      </c>
      <c r="J27" s="27">
        <f>T27+U27/1440</f>
        <v>0</v>
      </c>
      <c r="K27" s="27">
        <v>0</v>
      </c>
      <c r="L27" s="27">
        <v>0</v>
      </c>
      <c r="M27" s="26">
        <v>0</v>
      </c>
      <c r="N27" s="28">
        <f>W27+X27</f>
        <v>0</v>
      </c>
      <c r="O27" s="26">
        <v>0</v>
      </c>
      <c r="P27" s="24" t="str">
        <v/>
      </c>
      <c r="Q27" s="29">
        <v>0</v>
      </c>
      <c r="R27" s="20">
        <v>0</v>
      </c>
      <c r="S27" s="19" t="str">
        <v/>
      </c>
      <c r="T27" s="29">
        <v>0</v>
      </c>
      <c r="U27" s="20">
        <v>0</v>
      </c>
      <c r="V27" s="19" t="str">
        <v/>
      </c>
      <c r="W27" s="30">
        <v>0</v>
      </c>
      <c r="X27" s="20">
        <v>0</v>
      </c>
      <c r="Y27" s="19" t="str">
        <v/>
      </c>
      <c r="Z27" s="24" t="str">
        <v/>
      </c>
      <c r="AA27" s="24" t="str">
        <v/>
      </c>
      <c r="AB27" s="23" t="str">
        <v>SIM-022</v>
      </c>
      <c r="AC27" s="23" t="str">
        <v>sim-022</v>
      </c>
    </row>
    <row r="28">
      <c r="A28" s="10" t="str">
        <f>IF(OR($O28&gt;0,COUNTIF('CONTROL_PENDIENTES'!$A$5:$A$8,"GLOBAL")&gt;0,COUNTIF(INDEX('MATRIZ_DIARIA_SABANA'!$F$6:$AJ$60,MATCH($AB28,'MATRIZ_DIARIA_SABANA'!$B$6:$B$60,0),0),"~?")&gt;0,AND($R28&lt;&gt;0,LEN(TRIM($S28))=0),AND($U28&lt;&gt;0,LEN(TRIM($V28))=0),AND($X28&lt;&gt;0,LEN(TRIM($Y28))=0),$I28&lt;0,$J28&lt;0,$N28&lt;0),"BLOQUEADO","LISTO PARA REVISIÓN RR. HH.")</f>
        <v>LISTO PARA REVISIÓN RR. HH.</v>
      </c>
      <c r="B28" s="11" t="str">
        <v>FICTICIO-023</v>
      </c>
      <c r="C28" s="12" t="str">
        <v>PERSONA SIMULADA 23</v>
      </c>
      <c r="D28" s="13" t="str">
        <v>Administración</v>
      </c>
      <c r="E28" s="11" t="str">
        <v>CC-ADM — Administración</v>
      </c>
      <c r="F28" s="12" t="str">
        <v>L-V 08:30-17:30</v>
      </c>
      <c r="G28" s="14">
        <f>COUNTIF(INDEX('MATRIZ_DIARIA_SABANA'!$F$6:$AJ$60,MATCH($AB28,'MATRIZ_DIARIA_SABANA'!$B$6:$B$60,0),0),"P")</f>
        <v>22</v>
      </c>
      <c r="H28" s="15">
        <v>0</v>
      </c>
      <c r="I28" s="15">
        <f>Q28+R28/1440</f>
        <v>0</v>
      </c>
      <c r="J28" s="15">
        <f>T28+U28/1440</f>
        <v>0</v>
      </c>
      <c r="K28" s="15">
        <v>0</v>
      </c>
      <c r="L28" s="15">
        <v>0</v>
      </c>
      <c r="M28" s="14">
        <v>0</v>
      </c>
      <c r="N28" s="16">
        <f>W28+X28</f>
        <v>0</v>
      </c>
      <c r="O28" s="14">
        <v>0</v>
      </c>
      <c r="P28" s="12" t="str">
        <v/>
      </c>
      <c r="Q28" s="17">
        <v>0</v>
      </c>
      <c r="R28" s="20">
        <v>0</v>
      </c>
      <c r="S28" s="19" t="str">
        <v/>
      </c>
      <c r="T28" s="17">
        <v>0</v>
      </c>
      <c r="U28" s="20">
        <v>0</v>
      </c>
      <c r="V28" s="19" t="str">
        <v/>
      </c>
      <c r="W28" s="21">
        <v>0</v>
      </c>
      <c r="X28" s="20">
        <v>0</v>
      </c>
      <c r="Y28" s="19" t="str">
        <v/>
      </c>
      <c r="Z28" s="12" t="str">
        <v/>
      </c>
      <c r="AA28" s="12" t="str">
        <v/>
      </c>
      <c r="AB28" s="11" t="str">
        <v>SIM-023</v>
      </c>
      <c r="AC28" s="11" t="str">
        <v>sim-023</v>
      </c>
    </row>
    <row r="29">
      <c r="A29" s="22" t="str">
        <f>IF(OR($O29&gt;0,COUNTIF('CONTROL_PENDIENTES'!$A$5:$A$8,"GLOBAL")&gt;0,COUNTIF(INDEX('MATRIZ_DIARIA_SABANA'!$F$6:$AJ$60,MATCH($AB29,'MATRIZ_DIARIA_SABANA'!$B$6:$B$60,0),0),"~?")&gt;0,AND($R29&lt;&gt;0,LEN(TRIM($S29))=0),AND($U29&lt;&gt;0,LEN(TRIM($V29))=0),AND($X29&lt;&gt;0,LEN(TRIM($Y29))=0),$I29&lt;0,$J29&lt;0,$N29&lt;0),"BLOQUEADO","LISTO PARA REVISIÓN RR. HH.")</f>
        <v>LISTO PARA REVISIÓN RR. HH.</v>
      </c>
      <c r="B29" s="23" t="str">
        <v>FICTICIO-024</v>
      </c>
      <c r="C29" s="24" t="str">
        <v>PERSONA SIMULADA 24</v>
      </c>
      <c r="D29" s="25" t="str">
        <v>Instalación</v>
      </c>
      <c r="E29" s="23" t="str">
        <v>CC-INST — Instalaciones</v>
      </c>
      <c r="F29" s="24" t="str">
        <v>L-V 08:00-17:00</v>
      </c>
      <c r="G29" s="26">
        <f>COUNTIF(INDEX('MATRIZ_DIARIA_SABANA'!$F$6:$AJ$60,MATCH($AB29,'MATRIZ_DIARIA_SABANA'!$B$6:$B$60,0),0),"P")</f>
        <v>22</v>
      </c>
      <c r="H29" s="27">
        <v>0</v>
      </c>
      <c r="I29" s="27">
        <f>Q29+R29/1440</f>
        <v>0</v>
      </c>
      <c r="J29" s="27">
        <f>T29+U29/1440</f>
        <v>0</v>
      </c>
      <c r="K29" s="27">
        <v>0</v>
      </c>
      <c r="L29" s="27">
        <v>0</v>
      </c>
      <c r="M29" s="26">
        <v>0</v>
      </c>
      <c r="N29" s="28">
        <f>W29+X29</f>
        <v>0</v>
      </c>
      <c r="O29" s="26">
        <v>0</v>
      </c>
      <c r="P29" s="24" t="str">
        <v/>
      </c>
      <c r="Q29" s="29">
        <v>0</v>
      </c>
      <c r="R29" s="20">
        <v>0</v>
      </c>
      <c r="S29" s="19" t="str">
        <v/>
      </c>
      <c r="T29" s="29">
        <v>0</v>
      </c>
      <c r="U29" s="20">
        <v>0</v>
      </c>
      <c r="V29" s="19" t="str">
        <v/>
      </c>
      <c r="W29" s="30">
        <v>0</v>
      </c>
      <c r="X29" s="20">
        <v>0</v>
      </c>
      <c r="Y29" s="19" t="str">
        <v/>
      </c>
      <c r="Z29" s="24" t="str">
        <v/>
      </c>
      <c r="AA29" s="24" t="str">
        <v/>
      </c>
      <c r="AB29" s="23" t="str">
        <v>SIM-024</v>
      </c>
      <c r="AC29" s="23" t="str">
        <v>sim-024</v>
      </c>
    </row>
    <row r="30">
      <c r="A30" s="10" t="str">
        <f>IF(OR($O30&gt;0,COUNTIF('CONTROL_PENDIENTES'!$A$5:$A$8,"GLOBAL")&gt;0,COUNTIF(INDEX('MATRIZ_DIARIA_SABANA'!$F$6:$AJ$60,MATCH($AB30,'MATRIZ_DIARIA_SABANA'!$B$6:$B$60,0),0),"~?")&gt;0,AND($R30&lt;&gt;0,LEN(TRIM($S30))=0),AND($U30&lt;&gt;0,LEN(TRIM($V30))=0),AND($X30&lt;&gt;0,LEN(TRIM($Y30))=0),$I30&lt;0,$J30&lt;0,$N30&lt;0),"BLOQUEADO","LISTO PARA REVISIÓN RR. HH.")</f>
        <v>LISTO PARA REVISIÓN RR. HH.</v>
      </c>
      <c r="B30" s="11" t="str">
        <v>FICTICIO-025</v>
      </c>
      <c r="C30" s="12" t="str">
        <v>PERSONA SIMULADA 25</v>
      </c>
      <c r="D30" s="13" t="str">
        <v>Producción</v>
      </c>
      <c r="E30" s="11" t="str">
        <v>CC-PROD — Producción</v>
      </c>
      <c r="F30" s="12" t="str">
        <v>L-V 08:00-17:00</v>
      </c>
      <c r="G30" s="14">
        <f>COUNTIF(INDEX('MATRIZ_DIARIA_SABANA'!$F$6:$AJ$60,MATCH($AB30,'MATRIZ_DIARIA_SABANA'!$B$6:$B$60,0),0),"P")</f>
        <v>22</v>
      </c>
      <c r="H30" s="15">
        <v>0</v>
      </c>
      <c r="I30" s="15">
        <f>Q30+R30/1440</f>
        <v>0</v>
      </c>
      <c r="J30" s="15">
        <f>T30+U30/1440</f>
        <v>0</v>
      </c>
      <c r="K30" s="15">
        <v>0</v>
      </c>
      <c r="L30" s="15">
        <v>0</v>
      </c>
      <c r="M30" s="14">
        <v>0</v>
      </c>
      <c r="N30" s="16">
        <f>W30+X30</f>
        <v>0</v>
      </c>
      <c r="O30" s="14">
        <v>0</v>
      </c>
      <c r="P30" s="12" t="str">
        <v/>
      </c>
      <c r="Q30" s="17">
        <v>0</v>
      </c>
      <c r="R30" s="20">
        <v>0</v>
      </c>
      <c r="S30" s="19" t="str">
        <v/>
      </c>
      <c r="T30" s="17">
        <v>0</v>
      </c>
      <c r="U30" s="20">
        <v>0</v>
      </c>
      <c r="V30" s="19" t="str">
        <v/>
      </c>
      <c r="W30" s="21">
        <v>0</v>
      </c>
      <c r="X30" s="20">
        <v>0</v>
      </c>
      <c r="Y30" s="19" t="str">
        <v/>
      </c>
      <c r="Z30" s="12" t="str">
        <v/>
      </c>
      <c r="AA30" s="12" t="str">
        <v/>
      </c>
      <c r="AB30" s="11" t="str">
        <v>SIM-025</v>
      </c>
      <c r="AC30" s="11" t="str">
        <v>sim-025</v>
      </c>
    </row>
    <row r="31">
      <c r="A31" s="22" t="str">
        <f>IF(OR($O31&gt;0,COUNTIF('CONTROL_PENDIENTES'!$A$5:$A$8,"GLOBAL")&gt;0,COUNTIF(INDEX('MATRIZ_DIARIA_SABANA'!$F$6:$AJ$60,MATCH($AB31,'MATRIZ_DIARIA_SABANA'!$B$6:$B$60,0),0),"~?")&gt;0,AND($R31&lt;&gt;0,LEN(TRIM($S31))=0),AND($U31&lt;&gt;0,LEN(TRIM($V31))=0),AND($X31&lt;&gt;0,LEN(TRIM($Y31))=0),$I31&lt;0,$J31&lt;0,$N31&lt;0),"BLOQUEADO","LISTO PARA REVISIÓN RR. HH.")</f>
        <v>LISTO PARA REVISIÓN RR. HH.</v>
      </c>
      <c r="B31" s="23" t="str">
        <v>FICTICIO-026</v>
      </c>
      <c r="C31" s="24" t="str">
        <v>PERSONA SIMULADA 26</v>
      </c>
      <c r="D31" s="25" t="str">
        <v>Administración</v>
      </c>
      <c r="E31" s="23" t="str">
        <v>CC-ADM — Administración</v>
      </c>
      <c r="F31" s="24" t="str">
        <v>L-V 08:30-17:30</v>
      </c>
      <c r="G31" s="26">
        <f>COUNTIF(INDEX('MATRIZ_DIARIA_SABANA'!$F$6:$AJ$60,MATCH($AB31,'MATRIZ_DIARIA_SABANA'!$B$6:$B$60,0),0),"P")</f>
        <v>22</v>
      </c>
      <c r="H31" s="27">
        <v>0</v>
      </c>
      <c r="I31" s="27">
        <f>Q31+R31/1440</f>
        <v>0</v>
      </c>
      <c r="J31" s="27">
        <f>T31+U31/1440</f>
        <v>0</v>
      </c>
      <c r="K31" s="27">
        <v>0</v>
      </c>
      <c r="L31" s="27">
        <v>0</v>
      </c>
      <c r="M31" s="26">
        <v>0</v>
      </c>
      <c r="N31" s="28">
        <f>W31+X31</f>
        <v>0</v>
      </c>
      <c r="O31" s="26">
        <v>0</v>
      </c>
      <c r="P31" s="24" t="str">
        <v/>
      </c>
      <c r="Q31" s="29">
        <v>0</v>
      </c>
      <c r="R31" s="20">
        <v>0</v>
      </c>
      <c r="S31" s="19" t="str">
        <v/>
      </c>
      <c r="T31" s="29">
        <v>0</v>
      </c>
      <c r="U31" s="20">
        <v>0</v>
      </c>
      <c r="V31" s="19" t="str">
        <v/>
      </c>
      <c r="W31" s="30">
        <v>0</v>
      </c>
      <c r="X31" s="20">
        <v>0</v>
      </c>
      <c r="Y31" s="19" t="str">
        <v/>
      </c>
      <c r="Z31" s="24" t="str">
        <v/>
      </c>
      <c r="AA31" s="24" t="str">
        <v/>
      </c>
      <c r="AB31" s="23" t="str">
        <v>SIM-026</v>
      </c>
      <c r="AC31" s="23" t="str">
        <v>sim-026</v>
      </c>
    </row>
    <row r="32">
      <c r="A32" s="10" t="str">
        <f>IF(OR($O32&gt;0,COUNTIF('CONTROL_PENDIENTES'!$A$5:$A$8,"GLOBAL")&gt;0,COUNTIF(INDEX('MATRIZ_DIARIA_SABANA'!$F$6:$AJ$60,MATCH($AB32,'MATRIZ_DIARIA_SABANA'!$B$6:$B$60,0),0),"~?")&gt;0,AND($R32&lt;&gt;0,LEN(TRIM($S32))=0),AND($U32&lt;&gt;0,LEN(TRIM($V32))=0),AND($X32&lt;&gt;0,LEN(TRIM($Y32))=0),$I32&lt;0,$J32&lt;0,$N32&lt;0),"BLOQUEADO","LISTO PARA REVISIÓN RR. HH.")</f>
        <v>LISTO PARA REVISIÓN RR. HH.</v>
      </c>
      <c r="B32" s="11" t="str">
        <v>FICTICIO-027</v>
      </c>
      <c r="C32" s="12" t="str">
        <v>PERSONA SIMULADA 27</v>
      </c>
      <c r="D32" s="13" t="str">
        <v>Instalación</v>
      </c>
      <c r="E32" s="11" t="str">
        <v>CC-INST — Instalaciones</v>
      </c>
      <c r="F32" s="12" t="str">
        <v>L-V 08:00-17:00</v>
      </c>
      <c r="G32" s="14">
        <f>COUNTIF(INDEX('MATRIZ_DIARIA_SABANA'!$F$6:$AJ$60,MATCH($AB32,'MATRIZ_DIARIA_SABANA'!$B$6:$B$60,0),0),"P")</f>
        <v>22</v>
      </c>
      <c r="H32" s="15">
        <v>0</v>
      </c>
      <c r="I32" s="15">
        <f>Q32+R32/1440</f>
        <v>0</v>
      </c>
      <c r="J32" s="15">
        <f>T32+U32/1440</f>
        <v>0</v>
      </c>
      <c r="K32" s="15">
        <v>0</v>
      </c>
      <c r="L32" s="15">
        <v>0</v>
      </c>
      <c r="M32" s="14">
        <v>0</v>
      </c>
      <c r="N32" s="16">
        <f>W32+X32</f>
        <v>0</v>
      </c>
      <c r="O32" s="14">
        <v>0</v>
      </c>
      <c r="P32" s="12" t="str">
        <v/>
      </c>
      <c r="Q32" s="17">
        <v>0</v>
      </c>
      <c r="R32" s="20">
        <v>0</v>
      </c>
      <c r="S32" s="19" t="str">
        <v/>
      </c>
      <c r="T32" s="17">
        <v>0</v>
      </c>
      <c r="U32" s="20">
        <v>0</v>
      </c>
      <c r="V32" s="19" t="str">
        <v/>
      </c>
      <c r="W32" s="21">
        <v>0</v>
      </c>
      <c r="X32" s="20">
        <v>0</v>
      </c>
      <c r="Y32" s="19" t="str">
        <v/>
      </c>
      <c r="Z32" s="12" t="str">
        <v/>
      </c>
      <c r="AA32" s="12" t="str">
        <v/>
      </c>
      <c r="AB32" s="11" t="str">
        <v>SIM-027</v>
      </c>
      <c r="AC32" s="11" t="str">
        <v>sim-027</v>
      </c>
    </row>
    <row r="33">
      <c r="A33" s="22" t="str">
        <f>IF(OR($O33&gt;0,COUNTIF('CONTROL_PENDIENTES'!$A$5:$A$8,"GLOBAL")&gt;0,COUNTIF(INDEX('MATRIZ_DIARIA_SABANA'!$F$6:$AJ$60,MATCH($AB33,'MATRIZ_DIARIA_SABANA'!$B$6:$B$60,0),0),"~?")&gt;0,AND($R33&lt;&gt;0,LEN(TRIM($S33))=0),AND($U33&lt;&gt;0,LEN(TRIM($V33))=0),AND($X33&lt;&gt;0,LEN(TRIM($Y33))=0),$I33&lt;0,$J33&lt;0,$N33&lt;0),"BLOQUEADO","LISTO PARA REVISIÓN RR. HH.")</f>
        <v>LISTO PARA REVISIÓN RR. HH.</v>
      </c>
      <c r="B33" s="23" t="str">
        <v>FICTICIO-028</v>
      </c>
      <c r="C33" s="24" t="str">
        <v>PERSONA SIMULADA 28</v>
      </c>
      <c r="D33" s="25" t="str">
        <v>Producción</v>
      </c>
      <c r="E33" s="23" t="str">
        <v>CC-PROD — Producción</v>
      </c>
      <c r="F33" s="24" t="str">
        <v>L-V 08:00-17:00</v>
      </c>
      <c r="G33" s="26">
        <f>COUNTIF(INDEX('MATRIZ_DIARIA_SABANA'!$F$6:$AJ$60,MATCH($AB33,'MATRIZ_DIARIA_SABANA'!$B$6:$B$60,0),0),"P")</f>
        <v>22</v>
      </c>
      <c r="H33" s="27">
        <v>0</v>
      </c>
      <c r="I33" s="27">
        <f>Q33+R33/1440</f>
        <v>0</v>
      </c>
      <c r="J33" s="27">
        <f>T33+U33/1440</f>
        <v>0</v>
      </c>
      <c r="K33" s="27">
        <v>0</v>
      </c>
      <c r="L33" s="27">
        <v>0</v>
      </c>
      <c r="M33" s="26">
        <v>0</v>
      </c>
      <c r="N33" s="28">
        <f>W33+X33</f>
        <v>0</v>
      </c>
      <c r="O33" s="26">
        <v>0</v>
      </c>
      <c r="P33" s="24" t="str">
        <v/>
      </c>
      <c r="Q33" s="29">
        <v>0</v>
      </c>
      <c r="R33" s="20">
        <v>0</v>
      </c>
      <c r="S33" s="19" t="str">
        <v/>
      </c>
      <c r="T33" s="29">
        <v>0</v>
      </c>
      <c r="U33" s="20">
        <v>0</v>
      </c>
      <c r="V33" s="19" t="str">
        <v/>
      </c>
      <c r="W33" s="30">
        <v>0</v>
      </c>
      <c r="X33" s="20">
        <v>0</v>
      </c>
      <c r="Y33" s="19" t="str">
        <v/>
      </c>
      <c r="Z33" s="24" t="str">
        <v/>
      </c>
      <c r="AA33" s="24" t="str">
        <v/>
      </c>
      <c r="AB33" s="23" t="str">
        <v>SIM-028</v>
      </c>
      <c r="AC33" s="23" t="str">
        <v>sim-028</v>
      </c>
    </row>
    <row r="34">
      <c r="A34" s="10" t="str">
        <f>IF(OR($O34&gt;0,COUNTIF('CONTROL_PENDIENTES'!$A$5:$A$8,"GLOBAL")&gt;0,COUNTIF(INDEX('MATRIZ_DIARIA_SABANA'!$F$6:$AJ$60,MATCH($AB34,'MATRIZ_DIARIA_SABANA'!$B$6:$B$60,0),0),"~?")&gt;0,AND($R34&lt;&gt;0,LEN(TRIM($S34))=0),AND($U34&lt;&gt;0,LEN(TRIM($V34))=0),AND($X34&lt;&gt;0,LEN(TRIM($Y34))=0),$I34&lt;0,$J34&lt;0,$N34&lt;0),"BLOQUEADO","LISTO PARA REVISIÓN RR. HH.")</f>
        <v>LISTO PARA REVISIÓN RR. HH.</v>
      </c>
      <c r="B34" s="11" t="str">
        <v>FICTICIO-029</v>
      </c>
      <c r="C34" s="12" t="str">
        <v>PERSONA SIMULADA 29</v>
      </c>
      <c r="D34" s="13" t="str">
        <v>Administración</v>
      </c>
      <c r="E34" s="11" t="str">
        <v>CC-ADM — Administración</v>
      </c>
      <c r="F34" s="12" t="str">
        <v>L-V 08:30-17:30</v>
      </c>
      <c r="G34" s="14">
        <f>COUNTIF(INDEX('MATRIZ_DIARIA_SABANA'!$F$6:$AJ$60,MATCH($AB34,'MATRIZ_DIARIA_SABANA'!$B$6:$B$60,0),0),"P")</f>
        <v>22</v>
      </c>
      <c r="H34" s="15">
        <v>0</v>
      </c>
      <c r="I34" s="15">
        <f>Q34+R34/1440</f>
        <v>0</v>
      </c>
      <c r="J34" s="15">
        <f>T34+U34/1440</f>
        <v>0</v>
      </c>
      <c r="K34" s="15">
        <v>0</v>
      </c>
      <c r="L34" s="15">
        <v>0</v>
      </c>
      <c r="M34" s="14">
        <v>0</v>
      </c>
      <c r="N34" s="16">
        <f>W34+X34</f>
        <v>0</v>
      </c>
      <c r="O34" s="14">
        <v>0</v>
      </c>
      <c r="P34" s="12" t="str">
        <v/>
      </c>
      <c r="Q34" s="17">
        <v>0</v>
      </c>
      <c r="R34" s="20">
        <v>0</v>
      </c>
      <c r="S34" s="19" t="str">
        <v/>
      </c>
      <c r="T34" s="17">
        <v>0</v>
      </c>
      <c r="U34" s="20">
        <v>0</v>
      </c>
      <c r="V34" s="19" t="str">
        <v/>
      </c>
      <c r="W34" s="21">
        <v>0</v>
      </c>
      <c r="X34" s="20">
        <v>0</v>
      </c>
      <c r="Y34" s="19" t="str">
        <v/>
      </c>
      <c r="Z34" s="12" t="str">
        <v/>
      </c>
      <c r="AA34" s="12" t="str">
        <v/>
      </c>
      <c r="AB34" s="11" t="str">
        <v>SIM-029</v>
      </c>
      <c r="AC34" s="11" t="str">
        <v>sim-029</v>
      </c>
    </row>
    <row r="35">
      <c r="A35" s="22" t="str">
        <f>IF(OR($O35&gt;0,COUNTIF('CONTROL_PENDIENTES'!$A$5:$A$8,"GLOBAL")&gt;0,COUNTIF(INDEX('MATRIZ_DIARIA_SABANA'!$F$6:$AJ$60,MATCH($AB35,'MATRIZ_DIARIA_SABANA'!$B$6:$B$60,0),0),"~?")&gt;0,AND($R35&lt;&gt;0,LEN(TRIM($S35))=0),AND($U35&lt;&gt;0,LEN(TRIM($V35))=0),AND($X35&lt;&gt;0,LEN(TRIM($Y35))=0),$I35&lt;0,$J35&lt;0,$N35&lt;0),"BLOQUEADO","LISTO PARA REVISIÓN RR. HH.")</f>
        <v>LISTO PARA REVISIÓN RR. HH.</v>
      </c>
      <c r="B35" s="23" t="str">
        <v>FICTICIO-030</v>
      </c>
      <c r="C35" s="24" t="str">
        <v>PERSONA SIMULADA 30</v>
      </c>
      <c r="D35" s="25" t="str">
        <v>Instalación</v>
      </c>
      <c r="E35" s="23" t="str">
        <v>CC-INST — Instalaciones</v>
      </c>
      <c r="F35" s="24" t="str">
        <v>L-V 08:00-17:00</v>
      </c>
      <c r="G35" s="26">
        <f>COUNTIF(INDEX('MATRIZ_DIARIA_SABANA'!$F$6:$AJ$60,MATCH($AB35,'MATRIZ_DIARIA_SABANA'!$B$6:$B$60,0),0),"P")</f>
        <v>22</v>
      </c>
      <c r="H35" s="27">
        <v>0</v>
      </c>
      <c r="I35" s="27">
        <f>Q35+R35/1440</f>
        <v>0</v>
      </c>
      <c r="J35" s="27">
        <f>T35+U35/1440</f>
        <v>0</v>
      </c>
      <c r="K35" s="27">
        <v>0</v>
      </c>
      <c r="L35" s="27">
        <v>0</v>
      </c>
      <c r="M35" s="26">
        <v>0</v>
      </c>
      <c r="N35" s="28">
        <f>W35+X35</f>
        <v>0</v>
      </c>
      <c r="O35" s="26">
        <v>0</v>
      </c>
      <c r="P35" s="24" t="str">
        <v/>
      </c>
      <c r="Q35" s="29">
        <v>0</v>
      </c>
      <c r="R35" s="20">
        <v>0</v>
      </c>
      <c r="S35" s="19" t="str">
        <v/>
      </c>
      <c r="T35" s="29">
        <v>0</v>
      </c>
      <c r="U35" s="20">
        <v>0</v>
      </c>
      <c r="V35" s="19" t="str">
        <v/>
      </c>
      <c r="W35" s="30">
        <v>0</v>
      </c>
      <c r="X35" s="20">
        <v>0</v>
      </c>
      <c r="Y35" s="19" t="str">
        <v/>
      </c>
      <c r="Z35" s="24" t="str">
        <v/>
      </c>
      <c r="AA35" s="24" t="str">
        <v/>
      </c>
      <c r="AB35" s="23" t="str">
        <v>SIM-030</v>
      </c>
      <c r="AC35" s="23" t="str">
        <v>sim-030</v>
      </c>
    </row>
    <row r="36">
      <c r="A36" s="10" t="str">
        <f>IF(OR($O36&gt;0,COUNTIF('CONTROL_PENDIENTES'!$A$5:$A$8,"GLOBAL")&gt;0,COUNTIF(INDEX('MATRIZ_DIARIA_SABANA'!$F$6:$AJ$60,MATCH($AB36,'MATRIZ_DIARIA_SABANA'!$B$6:$B$60,0),0),"~?")&gt;0,AND($R36&lt;&gt;0,LEN(TRIM($S36))=0),AND($U36&lt;&gt;0,LEN(TRIM($V36))=0),AND($X36&lt;&gt;0,LEN(TRIM($Y36))=0),$I36&lt;0,$J36&lt;0,$N36&lt;0),"BLOQUEADO","LISTO PARA REVISIÓN RR. HH.")</f>
        <v>LISTO PARA REVISIÓN RR. HH.</v>
      </c>
      <c r="B36" s="11" t="str">
        <v>FICTICIO-031</v>
      </c>
      <c r="C36" s="12" t="str">
        <v>PERSONA SIMULADA 31</v>
      </c>
      <c r="D36" s="13" t="str">
        <v>Producción</v>
      </c>
      <c r="E36" s="11" t="str">
        <v>CC-PROD — Producción</v>
      </c>
      <c r="F36" s="12" t="str">
        <v>L-V 08:00-17:00</v>
      </c>
      <c r="G36" s="14">
        <f>COUNTIF(INDEX('MATRIZ_DIARIA_SABANA'!$F$6:$AJ$60,MATCH($AB36,'MATRIZ_DIARIA_SABANA'!$B$6:$B$60,0),0),"P")</f>
        <v>22</v>
      </c>
      <c r="H36" s="15">
        <v>0</v>
      </c>
      <c r="I36" s="15">
        <f>Q36+R36/1440</f>
        <v>0</v>
      </c>
      <c r="J36" s="15">
        <f>T36+U36/1440</f>
        <v>0</v>
      </c>
      <c r="K36" s="15">
        <v>0</v>
      </c>
      <c r="L36" s="15">
        <v>0</v>
      </c>
      <c r="M36" s="14">
        <v>0</v>
      </c>
      <c r="N36" s="16">
        <f>W36+X36</f>
        <v>0</v>
      </c>
      <c r="O36" s="14">
        <v>0</v>
      </c>
      <c r="P36" s="12" t="str">
        <v/>
      </c>
      <c r="Q36" s="17">
        <v>0</v>
      </c>
      <c r="R36" s="20">
        <v>0</v>
      </c>
      <c r="S36" s="19" t="str">
        <v/>
      </c>
      <c r="T36" s="17">
        <v>0</v>
      </c>
      <c r="U36" s="20">
        <v>0</v>
      </c>
      <c r="V36" s="19" t="str">
        <v/>
      </c>
      <c r="W36" s="21">
        <v>0</v>
      </c>
      <c r="X36" s="20">
        <v>0</v>
      </c>
      <c r="Y36" s="19" t="str">
        <v/>
      </c>
      <c r="Z36" s="12" t="str">
        <v/>
      </c>
      <c r="AA36" s="12" t="str">
        <v/>
      </c>
      <c r="AB36" s="11" t="str">
        <v>SIM-031</v>
      </c>
      <c r="AC36" s="11" t="str">
        <v>sim-031</v>
      </c>
    </row>
    <row r="37">
      <c r="A37" s="22" t="str">
        <f>IF(OR($O37&gt;0,COUNTIF('CONTROL_PENDIENTES'!$A$5:$A$8,"GLOBAL")&gt;0,COUNTIF(INDEX('MATRIZ_DIARIA_SABANA'!$F$6:$AJ$60,MATCH($AB37,'MATRIZ_DIARIA_SABANA'!$B$6:$B$60,0),0),"~?")&gt;0,AND($R37&lt;&gt;0,LEN(TRIM($S37))=0),AND($U37&lt;&gt;0,LEN(TRIM($V37))=0),AND($X37&lt;&gt;0,LEN(TRIM($Y37))=0),$I37&lt;0,$J37&lt;0,$N37&lt;0),"BLOQUEADO","LISTO PARA REVISIÓN RR. HH.")</f>
        <v>LISTO PARA REVISIÓN RR. HH.</v>
      </c>
      <c r="B37" s="23" t="str">
        <v>FICTICIO-032</v>
      </c>
      <c r="C37" s="24" t="str">
        <v>PERSONA SIMULADA 32</v>
      </c>
      <c r="D37" s="25" t="str">
        <v>Administración</v>
      </c>
      <c r="E37" s="23" t="str">
        <v>CC-ADM — Administración</v>
      </c>
      <c r="F37" s="24" t="str">
        <v>L-V 08:30-17:30</v>
      </c>
      <c r="G37" s="26">
        <f>COUNTIF(INDEX('MATRIZ_DIARIA_SABANA'!$F$6:$AJ$60,MATCH($AB37,'MATRIZ_DIARIA_SABANA'!$B$6:$B$60,0),0),"P")</f>
        <v>22</v>
      </c>
      <c r="H37" s="27">
        <v>0</v>
      </c>
      <c r="I37" s="27">
        <f>Q37+R37/1440</f>
        <v>0</v>
      </c>
      <c r="J37" s="27">
        <f>T37+U37/1440</f>
        <v>0</v>
      </c>
      <c r="K37" s="27">
        <v>0</v>
      </c>
      <c r="L37" s="27">
        <v>0</v>
      </c>
      <c r="M37" s="26">
        <v>0</v>
      </c>
      <c r="N37" s="28">
        <f>W37+X37</f>
        <v>0</v>
      </c>
      <c r="O37" s="26">
        <v>0</v>
      </c>
      <c r="P37" s="24" t="str">
        <v/>
      </c>
      <c r="Q37" s="29">
        <v>0</v>
      </c>
      <c r="R37" s="20">
        <v>0</v>
      </c>
      <c r="S37" s="19" t="str">
        <v/>
      </c>
      <c r="T37" s="29">
        <v>0</v>
      </c>
      <c r="U37" s="20">
        <v>0</v>
      </c>
      <c r="V37" s="19" t="str">
        <v/>
      </c>
      <c r="W37" s="30">
        <v>0</v>
      </c>
      <c r="X37" s="20">
        <v>0</v>
      </c>
      <c r="Y37" s="19" t="str">
        <v/>
      </c>
      <c r="Z37" s="24" t="str">
        <v/>
      </c>
      <c r="AA37" s="24" t="str">
        <v/>
      </c>
      <c r="AB37" s="23" t="str">
        <v>SIM-032</v>
      </c>
      <c r="AC37" s="23" t="str">
        <v>sim-032</v>
      </c>
    </row>
    <row r="38">
      <c r="A38" s="10" t="str">
        <f>IF(OR($O38&gt;0,COUNTIF('CONTROL_PENDIENTES'!$A$5:$A$8,"GLOBAL")&gt;0,COUNTIF(INDEX('MATRIZ_DIARIA_SABANA'!$F$6:$AJ$60,MATCH($AB38,'MATRIZ_DIARIA_SABANA'!$B$6:$B$60,0),0),"~?")&gt;0,AND($R38&lt;&gt;0,LEN(TRIM($S38))=0),AND($U38&lt;&gt;0,LEN(TRIM($V38))=0),AND($X38&lt;&gt;0,LEN(TRIM($Y38))=0),$I38&lt;0,$J38&lt;0,$N38&lt;0),"BLOQUEADO","LISTO PARA REVISIÓN RR. HH.")</f>
        <v>LISTO PARA REVISIÓN RR. HH.</v>
      </c>
      <c r="B38" s="11" t="str">
        <v>FICTICIO-033</v>
      </c>
      <c r="C38" s="12" t="str">
        <v>PERSONA SIMULADA 33</v>
      </c>
      <c r="D38" s="13" t="str">
        <v>Instalación</v>
      </c>
      <c r="E38" s="11" t="str">
        <v>CC-INST — Instalaciones</v>
      </c>
      <c r="F38" s="12" t="str">
        <v>L-V 08:00-17:00</v>
      </c>
      <c r="G38" s="14">
        <f>COUNTIF(INDEX('MATRIZ_DIARIA_SABANA'!$F$6:$AJ$60,MATCH($AB38,'MATRIZ_DIARIA_SABANA'!$B$6:$B$60,0),0),"P")</f>
        <v>22</v>
      </c>
      <c r="H38" s="15">
        <v>0</v>
      </c>
      <c r="I38" s="15">
        <f>Q38+R38/1440</f>
        <v>0</v>
      </c>
      <c r="J38" s="15">
        <f>T38+U38/1440</f>
        <v>0</v>
      </c>
      <c r="K38" s="15">
        <v>0</v>
      </c>
      <c r="L38" s="15">
        <v>0</v>
      </c>
      <c r="M38" s="14">
        <v>0</v>
      </c>
      <c r="N38" s="16">
        <f>W38+X38</f>
        <v>0</v>
      </c>
      <c r="O38" s="14">
        <v>0</v>
      </c>
      <c r="P38" s="12" t="str">
        <v/>
      </c>
      <c r="Q38" s="17">
        <v>0</v>
      </c>
      <c r="R38" s="20">
        <v>0</v>
      </c>
      <c r="S38" s="19" t="str">
        <v/>
      </c>
      <c r="T38" s="17">
        <v>0</v>
      </c>
      <c r="U38" s="20">
        <v>0</v>
      </c>
      <c r="V38" s="19" t="str">
        <v/>
      </c>
      <c r="W38" s="21">
        <v>0</v>
      </c>
      <c r="X38" s="20">
        <v>0</v>
      </c>
      <c r="Y38" s="19" t="str">
        <v/>
      </c>
      <c r="Z38" s="12" t="str">
        <v/>
      </c>
      <c r="AA38" s="12" t="str">
        <v/>
      </c>
      <c r="AB38" s="11" t="str">
        <v>SIM-033</v>
      </c>
      <c r="AC38" s="11" t="str">
        <v>sim-033</v>
      </c>
    </row>
    <row r="39">
      <c r="A39" s="22" t="str">
        <f>IF(OR($O39&gt;0,COUNTIF('CONTROL_PENDIENTES'!$A$5:$A$8,"GLOBAL")&gt;0,COUNTIF(INDEX('MATRIZ_DIARIA_SABANA'!$F$6:$AJ$60,MATCH($AB39,'MATRIZ_DIARIA_SABANA'!$B$6:$B$60,0),0),"~?")&gt;0,AND($R39&lt;&gt;0,LEN(TRIM($S39))=0),AND($U39&lt;&gt;0,LEN(TRIM($V39))=0),AND($X39&lt;&gt;0,LEN(TRIM($Y39))=0),$I39&lt;0,$J39&lt;0,$N39&lt;0),"BLOQUEADO","LISTO PARA REVISIÓN RR. HH.")</f>
        <v>LISTO PARA REVISIÓN RR. HH.</v>
      </c>
      <c r="B39" s="23" t="str">
        <v>FICTICIO-034</v>
      </c>
      <c r="C39" s="24" t="str">
        <v>PERSONA SIMULADA 34</v>
      </c>
      <c r="D39" s="25" t="str">
        <v>Producción</v>
      </c>
      <c r="E39" s="23" t="str">
        <v>CC-PROD — Producción</v>
      </c>
      <c r="F39" s="24" t="str">
        <v>L-V 08:00-17:00</v>
      </c>
      <c r="G39" s="26">
        <f>COUNTIF(INDEX('MATRIZ_DIARIA_SABANA'!$F$6:$AJ$60,MATCH($AB39,'MATRIZ_DIARIA_SABANA'!$B$6:$B$60,0),0),"P")</f>
        <v>22</v>
      </c>
      <c r="H39" s="27">
        <v>0</v>
      </c>
      <c r="I39" s="27">
        <f>Q39+R39/1440</f>
        <v>0</v>
      </c>
      <c r="J39" s="27">
        <f>T39+U39/1440</f>
        <v>0</v>
      </c>
      <c r="K39" s="27">
        <v>0</v>
      </c>
      <c r="L39" s="27">
        <v>0</v>
      </c>
      <c r="M39" s="26">
        <v>0</v>
      </c>
      <c r="N39" s="28">
        <f>W39+X39</f>
        <v>0</v>
      </c>
      <c r="O39" s="26">
        <v>0</v>
      </c>
      <c r="P39" s="24" t="str">
        <v/>
      </c>
      <c r="Q39" s="29">
        <v>0</v>
      </c>
      <c r="R39" s="20">
        <v>0</v>
      </c>
      <c r="S39" s="19" t="str">
        <v/>
      </c>
      <c r="T39" s="29">
        <v>0</v>
      </c>
      <c r="U39" s="20">
        <v>0</v>
      </c>
      <c r="V39" s="19" t="str">
        <v/>
      </c>
      <c r="W39" s="30">
        <v>0</v>
      </c>
      <c r="X39" s="20">
        <v>0</v>
      </c>
      <c r="Y39" s="19" t="str">
        <v/>
      </c>
      <c r="Z39" s="24" t="str">
        <v/>
      </c>
      <c r="AA39" s="24" t="str">
        <v/>
      </c>
      <c r="AB39" s="23" t="str">
        <v>SIM-034</v>
      </c>
      <c r="AC39" s="23" t="str">
        <v>sim-034</v>
      </c>
    </row>
    <row r="40">
      <c r="A40" s="10" t="str">
        <f>IF(OR($O40&gt;0,COUNTIF('CONTROL_PENDIENTES'!$A$5:$A$8,"GLOBAL")&gt;0,COUNTIF(INDEX('MATRIZ_DIARIA_SABANA'!$F$6:$AJ$60,MATCH($AB40,'MATRIZ_DIARIA_SABANA'!$B$6:$B$60,0),0),"~?")&gt;0,AND($R40&lt;&gt;0,LEN(TRIM($S40))=0),AND($U40&lt;&gt;0,LEN(TRIM($V40))=0),AND($X40&lt;&gt;0,LEN(TRIM($Y40))=0),$I40&lt;0,$J40&lt;0,$N40&lt;0),"BLOQUEADO","LISTO PARA REVISIÓN RR. HH.")</f>
        <v>LISTO PARA REVISIÓN RR. HH.</v>
      </c>
      <c r="B40" s="11" t="str">
        <v>FICTICIO-035</v>
      </c>
      <c r="C40" s="12" t="str">
        <v>PERSONA SIMULADA 35</v>
      </c>
      <c r="D40" s="13" t="str">
        <v>Administración</v>
      </c>
      <c r="E40" s="11" t="str">
        <v>CC-ADM — Administración</v>
      </c>
      <c r="F40" s="12" t="str">
        <v>L-V 08:30-17:30</v>
      </c>
      <c r="G40" s="14">
        <f>COUNTIF(INDEX('MATRIZ_DIARIA_SABANA'!$F$6:$AJ$60,MATCH($AB40,'MATRIZ_DIARIA_SABANA'!$B$6:$B$60,0),0),"P")</f>
        <v>22</v>
      </c>
      <c r="H40" s="15">
        <v>0</v>
      </c>
      <c r="I40" s="15">
        <f>Q40+R40/1440</f>
        <v>0</v>
      </c>
      <c r="J40" s="15">
        <f>T40+U40/1440</f>
        <v>0</v>
      </c>
      <c r="K40" s="15">
        <v>0</v>
      </c>
      <c r="L40" s="15">
        <v>0</v>
      </c>
      <c r="M40" s="14">
        <v>0</v>
      </c>
      <c r="N40" s="16">
        <f>W40+X40</f>
        <v>0</v>
      </c>
      <c r="O40" s="14">
        <v>0</v>
      </c>
      <c r="P40" s="12" t="str">
        <v/>
      </c>
      <c r="Q40" s="17">
        <v>0</v>
      </c>
      <c r="R40" s="20">
        <v>0</v>
      </c>
      <c r="S40" s="19" t="str">
        <v/>
      </c>
      <c r="T40" s="17">
        <v>0</v>
      </c>
      <c r="U40" s="20">
        <v>0</v>
      </c>
      <c r="V40" s="19" t="str">
        <v/>
      </c>
      <c r="W40" s="21">
        <v>0</v>
      </c>
      <c r="X40" s="20">
        <v>0</v>
      </c>
      <c r="Y40" s="19" t="str">
        <v/>
      </c>
      <c r="Z40" s="12" t="str">
        <v/>
      </c>
      <c r="AA40" s="12" t="str">
        <v/>
      </c>
      <c r="AB40" s="11" t="str">
        <v>SIM-035</v>
      </c>
      <c r="AC40" s="11" t="str">
        <v>sim-035</v>
      </c>
    </row>
    <row r="41">
      <c r="A41" s="22" t="str">
        <f>IF(OR($O41&gt;0,COUNTIF('CONTROL_PENDIENTES'!$A$5:$A$8,"GLOBAL")&gt;0,COUNTIF(INDEX('MATRIZ_DIARIA_SABANA'!$F$6:$AJ$60,MATCH($AB41,'MATRIZ_DIARIA_SABANA'!$B$6:$B$60,0),0),"~?")&gt;0,AND($R41&lt;&gt;0,LEN(TRIM($S41))=0),AND($U41&lt;&gt;0,LEN(TRIM($V41))=0),AND($X41&lt;&gt;0,LEN(TRIM($Y41))=0),$I41&lt;0,$J41&lt;0,$N41&lt;0),"BLOQUEADO","LISTO PARA REVISIÓN RR. HH.")</f>
        <v>LISTO PARA REVISIÓN RR. HH.</v>
      </c>
      <c r="B41" s="23" t="str">
        <v>FICTICIO-036</v>
      </c>
      <c r="C41" s="24" t="str">
        <v>PERSONA SIMULADA 36</v>
      </c>
      <c r="D41" s="25" t="str">
        <v>Instalación</v>
      </c>
      <c r="E41" s="23" t="str">
        <v>CC-INST — Instalaciones</v>
      </c>
      <c r="F41" s="24" t="str">
        <v>L-V 08:00-17:00</v>
      </c>
      <c r="G41" s="26">
        <f>COUNTIF(INDEX('MATRIZ_DIARIA_SABANA'!$F$6:$AJ$60,MATCH($AB41,'MATRIZ_DIARIA_SABANA'!$B$6:$B$60,0),0),"P")</f>
        <v>22</v>
      </c>
      <c r="H41" s="27">
        <v>0</v>
      </c>
      <c r="I41" s="27">
        <f>Q41+R41/1440</f>
        <v>0</v>
      </c>
      <c r="J41" s="27">
        <f>T41+U41/1440</f>
        <v>0</v>
      </c>
      <c r="K41" s="27">
        <v>0</v>
      </c>
      <c r="L41" s="27">
        <v>0</v>
      </c>
      <c r="M41" s="26">
        <v>0</v>
      </c>
      <c r="N41" s="28">
        <f>W41+X41</f>
        <v>0</v>
      </c>
      <c r="O41" s="26">
        <v>0</v>
      </c>
      <c r="P41" s="24" t="str">
        <v/>
      </c>
      <c r="Q41" s="29">
        <v>0</v>
      </c>
      <c r="R41" s="20">
        <v>0</v>
      </c>
      <c r="S41" s="19" t="str">
        <v/>
      </c>
      <c r="T41" s="29">
        <v>0</v>
      </c>
      <c r="U41" s="20">
        <v>0</v>
      </c>
      <c r="V41" s="19" t="str">
        <v/>
      </c>
      <c r="W41" s="30">
        <v>0</v>
      </c>
      <c r="X41" s="20">
        <v>0</v>
      </c>
      <c r="Y41" s="19" t="str">
        <v/>
      </c>
      <c r="Z41" s="24" t="str">
        <v/>
      </c>
      <c r="AA41" s="24" t="str">
        <v/>
      </c>
      <c r="AB41" s="23" t="str">
        <v>SIM-036</v>
      </c>
      <c r="AC41" s="23" t="str">
        <v>sim-036</v>
      </c>
    </row>
    <row r="42">
      <c r="A42" s="10" t="str">
        <f>IF(OR($O42&gt;0,COUNTIF('CONTROL_PENDIENTES'!$A$5:$A$8,"GLOBAL")&gt;0,COUNTIF(INDEX('MATRIZ_DIARIA_SABANA'!$F$6:$AJ$60,MATCH($AB42,'MATRIZ_DIARIA_SABANA'!$B$6:$B$60,0),0),"~?")&gt;0,AND($R42&lt;&gt;0,LEN(TRIM($S42))=0),AND($U42&lt;&gt;0,LEN(TRIM($V42))=0),AND($X42&lt;&gt;0,LEN(TRIM($Y42))=0),$I42&lt;0,$J42&lt;0,$N42&lt;0),"BLOQUEADO","LISTO PARA REVISIÓN RR. HH.")</f>
        <v>LISTO PARA REVISIÓN RR. HH.</v>
      </c>
      <c r="B42" s="11" t="str">
        <v>FICTICIO-037</v>
      </c>
      <c r="C42" s="12" t="str">
        <v>PERSONA SIMULADA 37</v>
      </c>
      <c r="D42" s="13" t="str">
        <v>Producción</v>
      </c>
      <c r="E42" s="11" t="str">
        <v>CC-PROD — Producción</v>
      </c>
      <c r="F42" s="12" t="str">
        <v>L-V 08:00-17:00</v>
      </c>
      <c r="G42" s="14">
        <f>COUNTIF(INDEX('MATRIZ_DIARIA_SABANA'!$F$6:$AJ$60,MATCH($AB42,'MATRIZ_DIARIA_SABANA'!$B$6:$B$60,0),0),"P")</f>
        <v>22</v>
      </c>
      <c r="H42" s="15">
        <v>0</v>
      </c>
      <c r="I42" s="15">
        <f>Q42+R42/1440</f>
        <v>0</v>
      </c>
      <c r="J42" s="15">
        <f>T42+U42/1440</f>
        <v>0</v>
      </c>
      <c r="K42" s="15">
        <v>0</v>
      </c>
      <c r="L42" s="15">
        <v>0</v>
      </c>
      <c r="M42" s="14">
        <v>0</v>
      </c>
      <c r="N42" s="16">
        <f>W42+X42</f>
        <v>0</v>
      </c>
      <c r="O42" s="14">
        <v>0</v>
      </c>
      <c r="P42" s="12" t="str">
        <v/>
      </c>
      <c r="Q42" s="17">
        <v>0</v>
      </c>
      <c r="R42" s="20">
        <v>0</v>
      </c>
      <c r="S42" s="19" t="str">
        <v/>
      </c>
      <c r="T42" s="17">
        <v>0</v>
      </c>
      <c r="U42" s="20">
        <v>0</v>
      </c>
      <c r="V42" s="19" t="str">
        <v/>
      </c>
      <c r="W42" s="21">
        <v>0</v>
      </c>
      <c r="X42" s="20">
        <v>0</v>
      </c>
      <c r="Y42" s="19" t="str">
        <v/>
      </c>
      <c r="Z42" s="12" t="str">
        <v/>
      </c>
      <c r="AA42" s="12" t="str">
        <v/>
      </c>
      <c r="AB42" s="11" t="str">
        <v>SIM-037</v>
      </c>
      <c r="AC42" s="11" t="str">
        <v>sim-037</v>
      </c>
    </row>
    <row r="43">
      <c r="A43" s="22" t="str">
        <f>IF(OR($O43&gt;0,COUNTIF('CONTROL_PENDIENTES'!$A$5:$A$8,"GLOBAL")&gt;0,COUNTIF(INDEX('MATRIZ_DIARIA_SABANA'!$F$6:$AJ$60,MATCH($AB43,'MATRIZ_DIARIA_SABANA'!$B$6:$B$60,0),0),"~?")&gt;0,AND($R43&lt;&gt;0,LEN(TRIM($S43))=0),AND($U43&lt;&gt;0,LEN(TRIM($V43))=0),AND($X43&lt;&gt;0,LEN(TRIM($Y43))=0),$I43&lt;0,$J43&lt;0,$N43&lt;0),"BLOQUEADO","LISTO PARA REVISIÓN RR. HH.")</f>
        <v>LISTO PARA REVISIÓN RR. HH.</v>
      </c>
      <c r="B43" s="23" t="str">
        <v>FICTICIO-038</v>
      </c>
      <c r="C43" s="24" t="str">
        <v>PERSONA SIMULADA 38</v>
      </c>
      <c r="D43" s="25" t="str">
        <v>Administración</v>
      </c>
      <c r="E43" s="23" t="str">
        <v>CC-ADM — Administración</v>
      </c>
      <c r="F43" s="24" t="str">
        <v>L-V 08:30-17:30</v>
      </c>
      <c r="G43" s="26">
        <f>COUNTIF(INDEX('MATRIZ_DIARIA_SABANA'!$F$6:$AJ$60,MATCH($AB43,'MATRIZ_DIARIA_SABANA'!$B$6:$B$60,0),0),"P")</f>
        <v>22</v>
      </c>
      <c r="H43" s="27">
        <v>0</v>
      </c>
      <c r="I43" s="27">
        <f>Q43+R43/1440</f>
        <v>0</v>
      </c>
      <c r="J43" s="27">
        <f>T43+U43/1440</f>
        <v>0</v>
      </c>
      <c r="K43" s="27">
        <v>0</v>
      </c>
      <c r="L43" s="27">
        <v>0</v>
      </c>
      <c r="M43" s="26">
        <v>0</v>
      </c>
      <c r="N43" s="28">
        <f>W43+X43</f>
        <v>0</v>
      </c>
      <c r="O43" s="26">
        <v>0</v>
      </c>
      <c r="P43" s="24" t="str">
        <v/>
      </c>
      <c r="Q43" s="29">
        <v>0</v>
      </c>
      <c r="R43" s="20">
        <v>0</v>
      </c>
      <c r="S43" s="19" t="str">
        <v/>
      </c>
      <c r="T43" s="29">
        <v>0</v>
      </c>
      <c r="U43" s="20">
        <v>0</v>
      </c>
      <c r="V43" s="19" t="str">
        <v/>
      </c>
      <c r="W43" s="30">
        <v>0</v>
      </c>
      <c r="X43" s="20">
        <v>0</v>
      </c>
      <c r="Y43" s="19" t="str">
        <v/>
      </c>
      <c r="Z43" s="24" t="str">
        <v/>
      </c>
      <c r="AA43" s="24" t="str">
        <v/>
      </c>
      <c r="AB43" s="23" t="str">
        <v>SIM-038</v>
      </c>
      <c r="AC43" s="23" t="str">
        <v>sim-038</v>
      </c>
    </row>
    <row r="44">
      <c r="A44" s="10" t="str">
        <f>IF(OR($O44&gt;0,COUNTIF('CONTROL_PENDIENTES'!$A$5:$A$8,"GLOBAL")&gt;0,COUNTIF(INDEX('MATRIZ_DIARIA_SABANA'!$F$6:$AJ$60,MATCH($AB44,'MATRIZ_DIARIA_SABANA'!$B$6:$B$60,0),0),"~?")&gt;0,AND($R44&lt;&gt;0,LEN(TRIM($S44))=0),AND($U44&lt;&gt;0,LEN(TRIM($V44))=0),AND($X44&lt;&gt;0,LEN(TRIM($Y44))=0),$I44&lt;0,$J44&lt;0,$N44&lt;0),"BLOQUEADO","LISTO PARA REVISIÓN RR. HH.")</f>
        <v>LISTO PARA REVISIÓN RR. HH.</v>
      </c>
      <c r="B44" s="11" t="str">
        <v>FICTICIO-039</v>
      </c>
      <c r="C44" s="12" t="str">
        <v>PERSONA SIMULADA 39</v>
      </c>
      <c r="D44" s="13" t="str">
        <v>Instalación</v>
      </c>
      <c r="E44" s="11" t="str">
        <v>CC-INST — Instalaciones</v>
      </c>
      <c r="F44" s="12" t="str">
        <v>L-V 08:00-17:00</v>
      </c>
      <c r="G44" s="14">
        <f>COUNTIF(INDEX('MATRIZ_DIARIA_SABANA'!$F$6:$AJ$60,MATCH($AB44,'MATRIZ_DIARIA_SABANA'!$B$6:$B$60,0),0),"P")</f>
        <v>22</v>
      </c>
      <c r="H44" s="15">
        <v>0</v>
      </c>
      <c r="I44" s="15">
        <f>Q44+R44/1440</f>
        <v>0</v>
      </c>
      <c r="J44" s="15">
        <f>T44+U44/1440</f>
        <v>0</v>
      </c>
      <c r="K44" s="15">
        <v>0</v>
      </c>
      <c r="L44" s="15">
        <v>0</v>
      </c>
      <c r="M44" s="14">
        <v>0</v>
      </c>
      <c r="N44" s="16">
        <f>W44+X44</f>
        <v>0</v>
      </c>
      <c r="O44" s="14">
        <v>0</v>
      </c>
      <c r="P44" s="12" t="str">
        <v/>
      </c>
      <c r="Q44" s="17">
        <v>0</v>
      </c>
      <c r="R44" s="20">
        <v>0</v>
      </c>
      <c r="S44" s="19" t="str">
        <v/>
      </c>
      <c r="T44" s="17">
        <v>0</v>
      </c>
      <c r="U44" s="20">
        <v>0</v>
      </c>
      <c r="V44" s="19" t="str">
        <v/>
      </c>
      <c r="W44" s="21">
        <v>0</v>
      </c>
      <c r="X44" s="20">
        <v>0</v>
      </c>
      <c r="Y44" s="19" t="str">
        <v/>
      </c>
      <c r="Z44" s="12" t="str">
        <v/>
      </c>
      <c r="AA44" s="12" t="str">
        <v/>
      </c>
      <c r="AB44" s="11" t="str">
        <v>SIM-039</v>
      </c>
      <c r="AC44" s="11" t="str">
        <v>sim-039</v>
      </c>
    </row>
    <row r="45">
      <c r="A45" s="22" t="str">
        <f>IF(OR($O45&gt;0,COUNTIF('CONTROL_PENDIENTES'!$A$5:$A$8,"GLOBAL")&gt;0,COUNTIF(INDEX('MATRIZ_DIARIA_SABANA'!$F$6:$AJ$60,MATCH($AB45,'MATRIZ_DIARIA_SABANA'!$B$6:$B$60,0),0),"~?")&gt;0,AND($R45&lt;&gt;0,LEN(TRIM($S45))=0),AND($U45&lt;&gt;0,LEN(TRIM($V45))=0),AND($X45&lt;&gt;0,LEN(TRIM($Y45))=0),$I45&lt;0,$J45&lt;0,$N45&lt;0),"BLOQUEADO","LISTO PARA REVISIÓN RR. HH.")</f>
        <v>LISTO PARA REVISIÓN RR. HH.</v>
      </c>
      <c r="B45" s="23" t="str">
        <v>FICTICIO-040</v>
      </c>
      <c r="C45" s="24" t="str">
        <v>PERSONA SIMULADA 40</v>
      </c>
      <c r="D45" s="25" t="str">
        <v>Producción</v>
      </c>
      <c r="E45" s="23" t="str">
        <v>CC-PROD — Producción</v>
      </c>
      <c r="F45" s="24" t="str">
        <v>L-V 08:00-17:00</v>
      </c>
      <c r="G45" s="26">
        <f>COUNTIF(INDEX('MATRIZ_DIARIA_SABANA'!$F$6:$AJ$60,MATCH($AB45,'MATRIZ_DIARIA_SABANA'!$B$6:$B$60,0),0),"P")</f>
        <v>22</v>
      </c>
      <c r="H45" s="27">
        <v>0</v>
      </c>
      <c r="I45" s="27">
        <f>Q45+R45/1440</f>
        <v>0</v>
      </c>
      <c r="J45" s="27">
        <f>T45+U45/1440</f>
        <v>0</v>
      </c>
      <c r="K45" s="27">
        <v>0</v>
      </c>
      <c r="L45" s="27">
        <v>0</v>
      </c>
      <c r="M45" s="26">
        <v>0</v>
      </c>
      <c r="N45" s="28">
        <f>W45+X45</f>
        <v>0</v>
      </c>
      <c r="O45" s="26">
        <v>0</v>
      </c>
      <c r="P45" s="24" t="str">
        <v/>
      </c>
      <c r="Q45" s="29">
        <v>0</v>
      </c>
      <c r="R45" s="20">
        <v>0</v>
      </c>
      <c r="S45" s="19" t="str">
        <v/>
      </c>
      <c r="T45" s="29">
        <v>0</v>
      </c>
      <c r="U45" s="20">
        <v>0</v>
      </c>
      <c r="V45" s="19" t="str">
        <v/>
      </c>
      <c r="W45" s="30">
        <v>0</v>
      </c>
      <c r="X45" s="20">
        <v>0</v>
      </c>
      <c r="Y45" s="19" t="str">
        <v/>
      </c>
      <c r="Z45" s="24" t="str">
        <v/>
      </c>
      <c r="AA45" s="24" t="str">
        <v/>
      </c>
      <c r="AB45" s="23" t="str">
        <v>SIM-040</v>
      </c>
      <c r="AC45" s="23" t="str">
        <v>sim-040</v>
      </c>
    </row>
    <row r="46">
      <c r="A46" s="10" t="str">
        <f>IF(OR($O46&gt;0,COUNTIF('CONTROL_PENDIENTES'!$A$5:$A$8,"GLOBAL")&gt;0,COUNTIF(INDEX('MATRIZ_DIARIA_SABANA'!$F$6:$AJ$60,MATCH($AB46,'MATRIZ_DIARIA_SABANA'!$B$6:$B$60,0),0),"~?")&gt;0,AND($R46&lt;&gt;0,LEN(TRIM($S46))=0),AND($U46&lt;&gt;0,LEN(TRIM($V46))=0),AND($X46&lt;&gt;0,LEN(TRIM($Y46))=0),$I46&lt;0,$J46&lt;0,$N46&lt;0),"BLOQUEADO","LISTO PARA REVISIÓN RR. HH.")</f>
        <v>LISTO PARA REVISIÓN RR. HH.</v>
      </c>
      <c r="B46" s="11" t="str">
        <v>FICTICIO-041</v>
      </c>
      <c r="C46" s="12" t="str">
        <v>PERSONA SIMULADA 41</v>
      </c>
      <c r="D46" s="13" t="str">
        <v>Administración</v>
      </c>
      <c r="E46" s="11" t="str">
        <v>CC-ADM — Administración</v>
      </c>
      <c r="F46" s="12" t="str">
        <v>L-V 08:30-17:30</v>
      </c>
      <c r="G46" s="14">
        <f>COUNTIF(INDEX('MATRIZ_DIARIA_SABANA'!$F$6:$AJ$60,MATCH($AB46,'MATRIZ_DIARIA_SABANA'!$B$6:$B$60,0),0),"P")</f>
        <v>22</v>
      </c>
      <c r="H46" s="15">
        <v>0</v>
      </c>
      <c r="I46" s="15">
        <f>Q46+R46/1440</f>
        <v>0</v>
      </c>
      <c r="J46" s="15">
        <f>T46+U46/1440</f>
        <v>0</v>
      </c>
      <c r="K46" s="15">
        <v>0</v>
      </c>
      <c r="L46" s="15">
        <v>0</v>
      </c>
      <c r="M46" s="14">
        <v>0</v>
      </c>
      <c r="N46" s="16">
        <f>W46+X46</f>
        <v>0</v>
      </c>
      <c r="O46" s="14">
        <v>0</v>
      </c>
      <c r="P46" s="12" t="str">
        <v/>
      </c>
      <c r="Q46" s="17">
        <v>0</v>
      </c>
      <c r="R46" s="20">
        <v>0</v>
      </c>
      <c r="S46" s="19" t="str">
        <v/>
      </c>
      <c r="T46" s="17">
        <v>0</v>
      </c>
      <c r="U46" s="20">
        <v>0</v>
      </c>
      <c r="V46" s="19" t="str">
        <v/>
      </c>
      <c r="W46" s="21">
        <v>0</v>
      </c>
      <c r="X46" s="20">
        <v>0</v>
      </c>
      <c r="Y46" s="19" t="str">
        <v/>
      </c>
      <c r="Z46" s="12" t="str">
        <v/>
      </c>
      <c r="AA46" s="12" t="str">
        <v/>
      </c>
      <c r="AB46" s="11" t="str">
        <v>SIM-041</v>
      </c>
      <c r="AC46" s="11" t="str">
        <v>sim-041</v>
      </c>
    </row>
    <row r="47">
      <c r="A47" s="22" t="str">
        <f>IF(OR($O47&gt;0,COUNTIF('CONTROL_PENDIENTES'!$A$5:$A$8,"GLOBAL")&gt;0,COUNTIF(INDEX('MATRIZ_DIARIA_SABANA'!$F$6:$AJ$60,MATCH($AB47,'MATRIZ_DIARIA_SABANA'!$B$6:$B$60,0),0),"~?")&gt;0,AND($R47&lt;&gt;0,LEN(TRIM($S47))=0),AND($U47&lt;&gt;0,LEN(TRIM($V47))=0),AND($X47&lt;&gt;0,LEN(TRIM($Y47))=0),$I47&lt;0,$J47&lt;0,$N47&lt;0),"BLOQUEADO","LISTO PARA REVISIÓN RR. HH.")</f>
        <v>LISTO PARA REVISIÓN RR. HH.</v>
      </c>
      <c r="B47" s="23" t="str">
        <v>FICTICIO-042</v>
      </c>
      <c r="C47" s="24" t="str">
        <v>PERSONA SIMULADA 42</v>
      </c>
      <c r="D47" s="25" t="str">
        <v>Instalación</v>
      </c>
      <c r="E47" s="23" t="str">
        <v>CC-INST — Instalaciones</v>
      </c>
      <c r="F47" s="24" t="str">
        <v>L-V 08:00-17:00</v>
      </c>
      <c r="G47" s="26">
        <f>COUNTIF(INDEX('MATRIZ_DIARIA_SABANA'!$F$6:$AJ$60,MATCH($AB47,'MATRIZ_DIARIA_SABANA'!$B$6:$B$60,0),0),"P")</f>
        <v>22</v>
      </c>
      <c r="H47" s="27">
        <v>0</v>
      </c>
      <c r="I47" s="27">
        <f>Q47+R47/1440</f>
        <v>0</v>
      </c>
      <c r="J47" s="27">
        <f>T47+U47/1440</f>
        <v>0</v>
      </c>
      <c r="K47" s="27">
        <v>0</v>
      </c>
      <c r="L47" s="27">
        <v>0</v>
      </c>
      <c r="M47" s="26">
        <v>0</v>
      </c>
      <c r="N47" s="28">
        <f>W47+X47</f>
        <v>0</v>
      </c>
      <c r="O47" s="26">
        <v>0</v>
      </c>
      <c r="P47" s="24" t="str">
        <v/>
      </c>
      <c r="Q47" s="29">
        <v>0</v>
      </c>
      <c r="R47" s="20">
        <v>0</v>
      </c>
      <c r="S47" s="19" t="str">
        <v/>
      </c>
      <c r="T47" s="29">
        <v>0</v>
      </c>
      <c r="U47" s="20">
        <v>0</v>
      </c>
      <c r="V47" s="19" t="str">
        <v/>
      </c>
      <c r="W47" s="30">
        <v>0</v>
      </c>
      <c r="X47" s="20">
        <v>0</v>
      </c>
      <c r="Y47" s="19" t="str">
        <v/>
      </c>
      <c r="Z47" s="24" t="str">
        <v/>
      </c>
      <c r="AA47" s="24" t="str">
        <v/>
      </c>
      <c r="AB47" s="23" t="str">
        <v>SIM-042</v>
      </c>
      <c r="AC47" s="23" t="str">
        <v>sim-042</v>
      </c>
    </row>
    <row r="48">
      <c r="A48" s="10" t="str">
        <f>IF(OR($O48&gt;0,COUNTIF('CONTROL_PENDIENTES'!$A$5:$A$8,"GLOBAL")&gt;0,COUNTIF(INDEX('MATRIZ_DIARIA_SABANA'!$F$6:$AJ$60,MATCH($AB48,'MATRIZ_DIARIA_SABANA'!$B$6:$B$60,0),0),"~?")&gt;0,AND($R48&lt;&gt;0,LEN(TRIM($S48))=0),AND($U48&lt;&gt;0,LEN(TRIM($V48))=0),AND($X48&lt;&gt;0,LEN(TRIM($Y48))=0),$I48&lt;0,$J48&lt;0,$N48&lt;0),"BLOQUEADO","LISTO PARA REVISIÓN RR. HH.")</f>
        <v>LISTO PARA REVISIÓN RR. HH.</v>
      </c>
      <c r="B48" s="11" t="str">
        <v>FICTICIO-043</v>
      </c>
      <c r="C48" s="12" t="str">
        <v>PERSONA SIMULADA 43</v>
      </c>
      <c r="D48" s="13" t="str">
        <v>Producción</v>
      </c>
      <c r="E48" s="11" t="str">
        <v>CC-PROD — Producción</v>
      </c>
      <c r="F48" s="12" t="str">
        <v>L-V 08:00-17:00</v>
      </c>
      <c r="G48" s="14">
        <f>COUNTIF(INDEX('MATRIZ_DIARIA_SABANA'!$F$6:$AJ$60,MATCH($AB48,'MATRIZ_DIARIA_SABANA'!$B$6:$B$60,0),0),"P")</f>
        <v>22</v>
      </c>
      <c r="H48" s="15">
        <v>0</v>
      </c>
      <c r="I48" s="15">
        <f>Q48+R48/1440</f>
        <v>0</v>
      </c>
      <c r="J48" s="15">
        <f>T48+U48/1440</f>
        <v>0</v>
      </c>
      <c r="K48" s="15">
        <v>0</v>
      </c>
      <c r="L48" s="15">
        <v>0</v>
      </c>
      <c r="M48" s="14">
        <v>0</v>
      </c>
      <c r="N48" s="16">
        <f>W48+X48</f>
        <v>0</v>
      </c>
      <c r="O48" s="14">
        <v>0</v>
      </c>
      <c r="P48" s="12" t="str">
        <v/>
      </c>
      <c r="Q48" s="17">
        <v>0</v>
      </c>
      <c r="R48" s="20">
        <v>0</v>
      </c>
      <c r="S48" s="19" t="str">
        <v/>
      </c>
      <c r="T48" s="17">
        <v>0</v>
      </c>
      <c r="U48" s="20">
        <v>0</v>
      </c>
      <c r="V48" s="19" t="str">
        <v/>
      </c>
      <c r="W48" s="21">
        <v>0</v>
      </c>
      <c r="X48" s="20">
        <v>0</v>
      </c>
      <c r="Y48" s="19" t="str">
        <v/>
      </c>
      <c r="Z48" s="12" t="str">
        <v/>
      </c>
      <c r="AA48" s="12" t="str">
        <v/>
      </c>
      <c r="AB48" s="11" t="str">
        <v>SIM-043</v>
      </c>
      <c r="AC48" s="11" t="str">
        <v>sim-043</v>
      </c>
    </row>
    <row r="49">
      <c r="A49" s="22" t="str">
        <f>IF(OR($O49&gt;0,COUNTIF('CONTROL_PENDIENTES'!$A$5:$A$8,"GLOBAL")&gt;0,COUNTIF(INDEX('MATRIZ_DIARIA_SABANA'!$F$6:$AJ$60,MATCH($AB49,'MATRIZ_DIARIA_SABANA'!$B$6:$B$60,0),0),"~?")&gt;0,AND($R49&lt;&gt;0,LEN(TRIM($S49))=0),AND($U49&lt;&gt;0,LEN(TRIM($V49))=0),AND($X49&lt;&gt;0,LEN(TRIM($Y49))=0),$I49&lt;0,$J49&lt;0,$N49&lt;0),"BLOQUEADO","LISTO PARA REVISIÓN RR. HH.")</f>
        <v>LISTO PARA REVISIÓN RR. HH.</v>
      </c>
      <c r="B49" s="23" t="str">
        <v>FICTICIO-044</v>
      </c>
      <c r="C49" s="24" t="str">
        <v>PERSONA SIMULADA 44</v>
      </c>
      <c r="D49" s="25" t="str">
        <v>Administración</v>
      </c>
      <c r="E49" s="23" t="str">
        <v>CC-ADM — Administración</v>
      </c>
      <c r="F49" s="24" t="str">
        <v>L-V 08:30-17:30</v>
      </c>
      <c r="G49" s="26">
        <f>COUNTIF(INDEX('MATRIZ_DIARIA_SABANA'!$F$6:$AJ$60,MATCH($AB49,'MATRIZ_DIARIA_SABANA'!$B$6:$B$60,0),0),"P")</f>
        <v>22</v>
      </c>
      <c r="H49" s="27">
        <v>0</v>
      </c>
      <c r="I49" s="27">
        <f>Q49+R49/1440</f>
        <v>0</v>
      </c>
      <c r="J49" s="27">
        <f>T49+U49/1440</f>
        <v>0</v>
      </c>
      <c r="K49" s="27">
        <v>0</v>
      </c>
      <c r="L49" s="27">
        <v>0</v>
      </c>
      <c r="M49" s="26">
        <v>0</v>
      </c>
      <c r="N49" s="28">
        <f>W49+X49</f>
        <v>0</v>
      </c>
      <c r="O49" s="26">
        <v>0</v>
      </c>
      <c r="P49" s="24" t="str">
        <v/>
      </c>
      <c r="Q49" s="29">
        <v>0</v>
      </c>
      <c r="R49" s="20">
        <v>0</v>
      </c>
      <c r="S49" s="19" t="str">
        <v/>
      </c>
      <c r="T49" s="29">
        <v>0</v>
      </c>
      <c r="U49" s="20">
        <v>0</v>
      </c>
      <c r="V49" s="19" t="str">
        <v/>
      </c>
      <c r="W49" s="30">
        <v>0</v>
      </c>
      <c r="X49" s="20">
        <v>0</v>
      </c>
      <c r="Y49" s="19" t="str">
        <v/>
      </c>
      <c r="Z49" s="24" t="str">
        <v/>
      </c>
      <c r="AA49" s="24" t="str">
        <v/>
      </c>
      <c r="AB49" s="23" t="str">
        <v>SIM-044</v>
      </c>
      <c r="AC49" s="23" t="str">
        <v>sim-044</v>
      </c>
    </row>
    <row r="50">
      <c r="A50" s="10" t="str">
        <f>IF(OR($O50&gt;0,COUNTIF('CONTROL_PENDIENTES'!$A$5:$A$8,"GLOBAL")&gt;0,COUNTIF(INDEX('MATRIZ_DIARIA_SABANA'!$F$6:$AJ$60,MATCH($AB50,'MATRIZ_DIARIA_SABANA'!$B$6:$B$60,0),0),"~?")&gt;0,AND($R50&lt;&gt;0,LEN(TRIM($S50))=0),AND($U50&lt;&gt;0,LEN(TRIM($V50))=0),AND($X50&lt;&gt;0,LEN(TRIM($Y50))=0),$I50&lt;0,$J50&lt;0,$N50&lt;0),"BLOQUEADO","LISTO PARA REVISIÓN RR. HH.")</f>
        <v>LISTO PARA REVISIÓN RR. HH.</v>
      </c>
      <c r="B50" s="11" t="str">
        <v>FICTICIO-045</v>
      </c>
      <c r="C50" s="12" t="str">
        <v>PERSONA SIMULADA 45</v>
      </c>
      <c r="D50" s="13" t="str">
        <v>Instalación</v>
      </c>
      <c r="E50" s="11" t="str">
        <v>CC-INST — Instalaciones</v>
      </c>
      <c r="F50" s="12" t="str">
        <v>L-V 08:00-17:00</v>
      </c>
      <c r="G50" s="14">
        <f>COUNTIF(INDEX('MATRIZ_DIARIA_SABANA'!$F$6:$AJ$60,MATCH($AB50,'MATRIZ_DIARIA_SABANA'!$B$6:$B$60,0),0),"P")</f>
        <v>22</v>
      </c>
      <c r="H50" s="15">
        <v>0</v>
      </c>
      <c r="I50" s="15">
        <f>Q50+R50/1440</f>
        <v>0</v>
      </c>
      <c r="J50" s="15">
        <f>T50+U50/1440</f>
        <v>0</v>
      </c>
      <c r="K50" s="15">
        <v>0</v>
      </c>
      <c r="L50" s="15">
        <v>0</v>
      </c>
      <c r="M50" s="14">
        <v>0</v>
      </c>
      <c r="N50" s="16">
        <f>W50+X50</f>
        <v>0</v>
      </c>
      <c r="O50" s="14">
        <v>0</v>
      </c>
      <c r="P50" s="12" t="str">
        <v/>
      </c>
      <c r="Q50" s="17">
        <v>0</v>
      </c>
      <c r="R50" s="20">
        <v>0</v>
      </c>
      <c r="S50" s="19" t="str">
        <v/>
      </c>
      <c r="T50" s="17">
        <v>0</v>
      </c>
      <c r="U50" s="20">
        <v>0</v>
      </c>
      <c r="V50" s="19" t="str">
        <v/>
      </c>
      <c r="W50" s="21">
        <v>0</v>
      </c>
      <c r="X50" s="20">
        <v>0</v>
      </c>
      <c r="Y50" s="19" t="str">
        <v/>
      </c>
      <c r="Z50" s="12" t="str">
        <v/>
      </c>
      <c r="AA50" s="12" t="str">
        <v/>
      </c>
      <c r="AB50" s="11" t="str">
        <v>SIM-045</v>
      </c>
      <c r="AC50" s="11" t="str">
        <v>sim-045</v>
      </c>
    </row>
    <row r="51">
      <c r="A51" s="22" t="str">
        <f>IF(OR($O51&gt;0,COUNTIF('CONTROL_PENDIENTES'!$A$5:$A$8,"GLOBAL")&gt;0,COUNTIF(INDEX('MATRIZ_DIARIA_SABANA'!$F$6:$AJ$60,MATCH($AB51,'MATRIZ_DIARIA_SABANA'!$B$6:$B$60,0),0),"~?")&gt;0,AND($R51&lt;&gt;0,LEN(TRIM($S51))=0),AND($U51&lt;&gt;0,LEN(TRIM($V51))=0),AND($X51&lt;&gt;0,LEN(TRIM($Y51))=0),$I51&lt;0,$J51&lt;0,$N51&lt;0),"BLOQUEADO","LISTO PARA REVISIÓN RR. HH.")</f>
        <v>LISTO PARA REVISIÓN RR. HH.</v>
      </c>
      <c r="B51" s="23" t="str">
        <v>FICTICIO-046</v>
      </c>
      <c r="C51" s="24" t="str">
        <v>PERSONA SIMULADA 46</v>
      </c>
      <c r="D51" s="25" t="str">
        <v>Producción</v>
      </c>
      <c r="E51" s="23" t="str">
        <v>CC-PROD — Producción</v>
      </c>
      <c r="F51" s="24" t="str">
        <v>L-V 08:00-17:00</v>
      </c>
      <c r="G51" s="26">
        <f>COUNTIF(INDEX('MATRIZ_DIARIA_SABANA'!$F$6:$AJ$60,MATCH($AB51,'MATRIZ_DIARIA_SABANA'!$B$6:$B$60,0),0),"P")</f>
        <v>22</v>
      </c>
      <c r="H51" s="27">
        <v>0</v>
      </c>
      <c r="I51" s="27">
        <f>Q51+R51/1440</f>
        <v>0</v>
      </c>
      <c r="J51" s="27">
        <f>T51+U51/1440</f>
        <v>0</v>
      </c>
      <c r="K51" s="27">
        <v>0</v>
      </c>
      <c r="L51" s="27">
        <v>0</v>
      </c>
      <c r="M51" s="26">
        <v>0</v>
      </c>
      <c r="N51" s="28">
        <f>W51+X51</f>
        <v>0</v>
      </c>
      <c r="O51" s="26">
        <v>0</v>
      </c>
      <c r="P51" s="24" t="str">
        <v/>
      </c>
      <c r="Q51" s="29">
        <v>0</v>
      </c>
      <c r="R51" s="20">
        <v>0</v>
      </c>
      <c r="S51" s="19" t="str">
        <v/>
      </c>
      <c r="T51" s="29">
        <v>0</v>
      </c>
      <c r="U51" s="20">
        <v>0</v>
      </c>
      <c r="V51" s="19" t="str">
        <v/>
      </c>
      <c r="W51" s="30">
        <v>0</v>
      </c>
      <c r="X51" s="20">
        <v>0</v>
      </c>
      <c r="Y51" s="19" t="str">
        <v/>
      </c>
      <c r="Z51" s="24" t="str">
        <v/>
      </c>
      <c r="AA51" s="24" t="str">
        <v/>
      </c>
      <c r="AB51" s="23" t="str">
        <v>SIM-046</v>
      </c>
      <c r="AC51" s="23" t="str">
        <v>sim-046</v>
      </c>
    </row>
    <row r="52">
      <c r="A52" s="10" t="str">
        <f>IF(OR($O52&gt;0,COUNTIF('CONTROL_PENDIENTES'!$A$5:$A$8,"GLOBAL")&gt;0,COUNTIF(INDEX('MATRIZ_DIARIA_SABANA'!$F$6:$AJ$60,MATCH($AB52,'MATRIZ_DIARIA_SABANA'!$B$6:$B$60,0),0),"~?")&gt;0,AND($R52&lt;&gt;0,LEN(TRIM($S52))=0),AND($U52&lt;&gt;0,LEN(TRIM($V52))=0),AND($X52&lt;&gt;0,LEN(TRIM($Y52))=0),$I52&lt;0,$J52&lt;0,$N52&lt;0),"BLOQUEADO","LISTO PARA REVISIÓN RR. HH.")</f>
        <v>LISTO PARA REVISIÓN RR. HH.</v>
      </c>
      <c r="B52" s="11" t="str">
        <v>FICTICIO-047</v>
      </c>
      <c r="C52" s="12" t="str">
        <v>PERSONA SIMULADA 47</v>
      </c>
      <c r="D52" s="13" t="str">
        <v>Administración</v>
      </c>
      <c r="E52" s="11" t="str">
        <v>CC-ADM — Administración</v>
      </c>
      <c r="F52" s="12" t="str">
        <v>L-V 08:30-17:30</v>
      </c>
      <c r="G52" s="14">
        <f>COUNTIF(INDEX('MATRIZ_DIARIA_SABANA'!$F$6:$AJ$60,MATCH($AB52,'MATRIZ_DIARIA_SABANA'!$B$6:$B$60,0),0),"P")</f>
        <v>22</v>
      </c>
      <c r="H52" s="15">
        <v>0</v>
      </c>
      <c r="I52" s="15">
        <f>Q52+R52/1440</f>
        <v>0</v>
      </c>
      <c r="J52" s="15">
        <f>T52+U52/1440</f>
        <v>0</v>
      </c>
      <c r="K52" s="15">
        <v>0</v>
      </c>
      <c r="L52" s="15">
        <v>0</v>
      </c>
      <c r="M52" s="14">
        <v>0</v>
      </c>
      <c r="N52" s="16">
        <f>W52+X52</f>
        <v>0</v>
      </c>
      <c r="O52" s="14">
        <v>0</v>
      </c>
      <c r="P52" s="12" t="str">
        <v/>
      </c>
      <c r="Q52" s="17">
        <v>0</v>
      </c>
      <c r="R52" s="20">
        <v>0</v>
      </c>
      <c r="S52" s="19" t="str">
        <v/>
      </c>
      <c r="T52" s="17">
        <v>0</v>
      </c>
      <c r="U52" s="20">
        <v>0</v>
      </c>
      <c r="V52" s="19" t="str">
        <v/>
      </c>
      <c r="W52" s="21">
        <v>0</v>
      </c>
      <c r="X52" s="20">
        <v>0</v>
      </c>
      <c r="Y52" s="19" t="str">
        <v/>
      </c>
      <c r="Z52" s="12" t="str">
        <v/>
      </c>
      <c r="AA52" s="12" t="str">
        <v/>
      </c>
      <c r="AB52" s="11" t="str">
        <v>SIM-047</v>
      </c>
      <c r="AC52" s="11" t="str">
        <v>sim-047</v>
      </c>
    </row>
    <row r="53">
      <c r="A53" s="22" t="str">
        <f>IF(OR($O53&gt;0,COUNTIF('CONTROL_PENDIENTES'!$A$5:$A$8,"GLOBAL")&gt;0,COUNTIF(INDEX('MATRIZ_DIARIA_SABANA'!$F$6:$AJ$60,MATCH($AB53,'MATRIZ_DIARIA_SABANA'!$B$6:$B$60,0),0),"~?")&gt;0,AND($R53&lt;&gt;0,LEN(TRIM($S53))=0),AND($U53&lt;&gt;0,LEN(TRIM($V53))=0),AND($X53&lt;&gt;0,LEN(TRIM($Y53))=0),$I53&lt;0,$J53&lt;0,$N53&lt;0),"BLOQUEADO","LISTO PARA REVISIÓN RR. HH.")</f>
        <v>LISTO PARA REVISIÓN RR. HH.</v>
      </c>
      <c r="B53" s="23" t="str">
        <v>FICTICIO-048</v>
      </c>
      <c r="C53" s="24" t="str">
        <v>PERSONA SIMULADA 48</v>
      </c>
      <c r="D53" s="25" t="str">
        <v>Instalación</v>
      </c>
      <c r="E53" s="23" t="str">
        <v>CC-INST — Instalaciones</v>
      </c>
      <c r="F53" s="24" t="str">
        <v>L-V 08:00-17:00</v>
      </c>
      <c r="G53" s="26">
        <f>COUNTIF(INDEX('MATRIZ_DIARIA_SABANA'!$F$6:$AJ$60,MATCH($AB53,'MATRIZ_DIARIA_SABANA'!$B$6:$B$60,0),0),"P")</f>
        <v>22</v>
      </c>
      <c r="H53" s="27">
        <v>0</v>
      </c>
      <c r="I53" s="27">
        <f>Q53+R53/1440</f>
        <v>0</v>
      </c>
      <c r="J53" s="27">
        <f>T53+U53/1440</f>
        <v>0</v>
      </c>
      <c r="K53" s="27">
        <v>0</v>
      </c>
      <c r="L53" s="27">
        <v>0</v>
      </c>
      <c r="M53" s="26">
        <v>0</v>
      </c>
      <c r="N53" s="28">
        <f>W53+X53</f>
        <v>0</v>
      </c>
      <c r="O53" s="26">
        <v>0</v>
      </c>
      <c r="P53" s="24" t="str">
        <v/>
      </c>
      <c r="Q53" s="29">
        <v>0</v>
      </c>
      <c r="R53" s="20">
        <v>0</v>
      </c>
      <c r="S53" s="19" t="str">
        <v/>
      </c>
      <c r="T53" s="29">
        <v>0</v>
      </c>
      <c r="U53" s="20">
        <v>0</v>
      </c>
      <c r="V53" s="19" t="str">
        <v/>
      </c>
      <c r="W53" s="30">
        <v>0</v>
      </c>
      <c r="X53" s="20">
        <v>0</v>
      </c>
      <c r="Y53" s="19" t="str">
        <v/>
      </c>
      <c r="Z53" s="24" t="str">
        <v/>
      </c>
      <c r="AA53" s="24" t="str">
        <v/>
      </c>
      <c r="AB53" s="23" t="str">
        <v>SIM-048</v>
      </c>
      <c r="AC53" s="23" t="str">
        <v>sim-048</v>
      </c>
    </row>
    <row r="54">
      <c r="A54" s="10" t="str">
        <f>IF(OR($O54&gt;0,COUNTIF('CONTROL_PENDIENTES'!$A$5:$A$8,"GLOBAL")&gt;0,COUNTIF(INDEX('MATRIZ_DIARIA_SABANA'!$F$6:$AJ$60,MATCH($AB54,'MATRIZ_DIARIA_SABANA'!$B$6:$B$60,0),0),"~?")&gt;0,AND($R54&lt;&gt;0,LEN(TRIM($S54))=0),AND($U54&lt;&gt;0,LEN(TRIM($V54))=0),AND($X54&lt;&gt;0,LEN(TRIM($Y54))=0),$I54&lt;0,$J54&lt;0,$N54&lt;0),"BLOQUEADO","LISTO PARA REVISIÓN RR. HH.")</f>
        <v>LISTO PARA REVISIÓN RR. HH.</v>
      </c>
      <c r="B54" s="11" t="str">
        <v>FICTICIO-049</v>
      </c>
      <c r="C54" s="12" t="str">
        <v>PERSONA SIMULADA 49</v>
      </c>
      <c r="D54" s="13" t="str">
        <v>Producción</v>
      </c>
      <c r="E54" s="11" t="str">
        <v>CC-PROD — Producción</v>
      </c>
      <c r="F54" s="12" t="str">
        <v>L-V 08:00-17:00</v>
      </c>
      <c r="G54" s="14">
        <f>COUNTIF(INDEX('MATRIZ_DIARIA_SABANA'!$F$6:$AJ$60,MATCH($AB54,'MATRIZ_DIARIA_SABANA'!$B$6:$B$60,0),0),"P")</f>
        <v>22</v>
      </c>
      <c r="H54" s="15">
        <v>0</v>
      </c>
      <c r="I54" s="15">
        <f>Q54+R54/1440</f>
        <v>0</v>
      </c>
      <c r="J54" s="15">
        <f>T54+U54/1440</f>
        <v>0</v>
      </c>
      <c r="K54" s="15">
        <v>0</v>
      </c>
      <c r="L54" s="15">
        <v>0</v>
      </c>
      <c r="M54" s="14">
        <v>0</v>
      </c>
      <c r="N54" s="16">
        <f>W54+X54</f>
        <v>0</v>
      </c>
      <c r="O54" s="14">
        <v>0</v>
      </c>
      <c r="P54" s="12" t="str">
        <v/>
      </c>
      <c r="Q54" s="17">
        <v>0</v>
      </c>
      <c r="R54" s="20">
        <v>0</v>
      </c>
      <c r="S54" s="19" t="str">
        <v/>
      </c>
      <c r="T54" s="17">
        <v>0</v>
      </c>
      <c r="U54" s="20">
        <v>0</v>
      </c>
      <c r="V54" s="19" t="str">
        <v/>
      </c>
      <c r="W54" s="21">
        <v>0</v>
      </c>
      <c r="X54" s="20">
        <v>0</v>
      </c>
      <c r="Y54" s="19" t="str">
        <v/>
      </c>
      <c r="Z54" s="12" t="str">
        <v/>
      </c>
      <c r="AA54" s="12" t="str">
        <v/>
      </c>
      <c r="AB54" s="11" t="str">
        <v>SIM-049</v>
      </c>
      <c r="AC54" s="11" t="str">
        <v>sim-049</v>
      </c>
    </row>
    <row r="55">
      <c r="A55" s="22" t="str">
        <f>IF(OR($O55&gt;0,COUNTIF('CONTROL_PENDIENTES'!$A$5:$A$8,"GLOBAL")&gt;0,COUNTIF(INDEX('MATRIZ_DIARIA_SABANA'!$F$6:$AJ$60,MATCH($AB55,'MATRIZ_DIARIA_SABANA'!$B$6:$B$60,0),0),"~?")&gt;0,AND($R55&lt;&gt;0,LEN(TRIM($S55))=0),AND($U55&lt;&gt;0,LEN(TRIM($V55))=0),AND($X55&lt;&gt;0,LEN(TRIM($Y55))=0),$I55&lt;0,$J55&lt;0,$N55&lt;0),"BLOQUEADO","LISTO PARA REVISIÓN RR. HH.")</f>
        <v>LISTO PARA REVISIÓN RR. HH.</v>
      </c>
      <c r="B55" s="23" t="str">
        <v>FICTICIO-050</v>
      </c>
      <c r="C55" s="24" t="str">
        <v>PERSONA SIMULADA 50</v>
      </c>
      <c r="D55" s="25" t="str">
        <v>Administración</v>
      </c>
      <c r="E55" s="23" t="str">
        <v>CC-ADM — Administración</v>
      </c>
      <c r="F55" s="24" t="str">
        <v>L-V 08:30-17:30</v>
      </c>
      <c r="G55" s="26">
        <f>COUNTIF(INDEX('MATRIZ_DIARIA_SABANA'!$F$6:$AJ$60,MATCH($AB55,'MATRIZ_DIARIA_SABANA'!$B$6:$B$60,0),0),"P")</f>
        <v>22</v>
      </c>
      <c r="H55" s="27">
        <v>0</v>
      </c>
      <c r="I55" s="27">
        <f>Q55+R55/1440</f>
        <v>0</v>
      </c>
      <c r="J55" s="27">
        <f>T55+U55/1440</f>
        <v>0</v>
      </c>
      <c r="K55" s="27">
        <v>0</v>
      </c>
      <c r="L55" s="27">
        <v>0</v>
      </c>
      <c r="M55" s="26">
        <v>0</v>
      </c>
      <c r="N55" s="28">
        <f>W55+X55</f>
        <v>0</v>
      </c>
      <c r="O55" s="26">
        <v>0</v>
      </c>
      <c r="P55" s="24" t="str">
        <v/>
      </c>
      <c r="Q55" s="29">
        <v>0</v>
      </c>
      <c r="R55" s="20">
        <v>0</v>
      </c>
      <c r="S55" s="19" t="str">
        <v/>
      </c>
      <c r="T55" s="29">
        <v>0</v>
      </c>
      <c r="U55" s="20">
        <v>0</v>
      </c>
      <c r="V55" s="19" t="str">
        <v/>
      </c>
      <c r="W55" s="30">
        <v>0</v>
      </c>
      <c r="X55" s="20">
        <v>0</v>
      </c>
      <c r="Y55" s="19" t="str">
        <v/>
      </c>
      <c r="Z55" s="24" t="str">
        <v/>
      </c>
      <c r="AA55" s="24" t="str">
        <v/>
      </c>
      <c r="AB55" s="23" t="str">
        <v>SIM-050</v>
      </c>
      <c r="AC55" s="23" t="str">
        <v>sim-050</v>
      </c>
    </row>
    <row r="56">
      <c r="A56" s="10" t="str">
        <f>IF(OR($O56&gt;0,COUNTIF('CONTROL_PENDIENTES'!$A$5:$A$8,"GLOBAL")&gt;0,COUNTIF(INDEX('MATRIZ_DIARIA_SABANA'!$F$6:$AJ$60,MATCH($AB56,'MATRIZ_DIARIA_SABANA'!$B$6:$B$60,0),0),"~?")&gt;0,AND($R56&lt;&gt;0,LEN(TRIM($S56))=0),AND($U56&lt;&gt;0,LEN(TRIM($V56))=0),AND($X56&lt;&gt;0,LEN(TRIM($Y56))=0),$I56&lt;0,$J56&lt;0,$N56&lt;0),"BLOQUEADO","LISTO PARA REVISIÓN RR. HH.")</f>
        <v>LISTO PARA REVISIÓN RR. HH.</v>
      </c>
      <c r="B56" s="11" t="str">
        <v>FICTICIO-051</v>
      </c>
      <c r="C56" s="12" t="str">
        <v>PERSONA SIMULADA 51</v>
      </c>
      <c r="D56" s="13" t="str">
        <v>Instalación</v>
      </c>
      <c r="E56" s="11" t="str">
        <v>CC-INST — Instalaciones</v>
      </c>
      <c r="F56" s="12" t="str">
        <v>L-V 08:00-17:00</v>
      </c>
      <c r="G56" s="14">
        <f>COUNTIF(INDEX('MATRIZ_DIARIA_SABANA'!$F$6:$AJ$60,MATCH($AB56,'MATRIZ_DIARIA_SABANA'!$B$6:$B$60,0),0),"P")</f>
        <v>22</v>
      </c>
      <c r="H56" s="15">
        <v>0</v>
      </c>
      <c r="I56" s="15">
        <f>Q56+R56/1440</f>
        <v>0</v>
      </c>
      <c r="J56" s="15">
        <f>T56+U56/1440</f>
        <v>0</v>
      </c>
      <c r="K56" s="15">
        <v>0</v>
      </c>
      <c r="L56" s="15">
        <v>0</v>
      </c>
      <c r="M56" s="14">
        <v>0</v>
      </c>
      <c r="N56" s="16">
        <f>W56+X56</f>
        <v>0</v>
      </c>
      <c r="O56" s="14">
        <v>0</v>
      </c>
      <c r="P56" s="12" t="str">
        <v/>
      </c>
      <c r="Q56" s="17">
        <v>0</v>
      </c>
      <c r="R56" s="20">
        <v>0</v>
      </c>
      <c r="S56" s="19" t="str">
        <v/>
      </c>
      <c r="T56" s="17">
        <v>0</v>
      </c>
      <c r="U56" s="20">
        <v>0</v>
      </c>
      <c r="V56" s="19" t="str">
        <v/>
      </c>
      <c r="W56" s="21">
        <v>0</v>
      </c>
      <c r="X56" s="20">
        <v>0</v>
      </c>
      <c r="Y56" s="19" t="str">
        <v/>
      </c>
      <c r="Z56" s="12" t="str">
        <v/>
      </c>
      <c r="AA56" s="12" t="str">
        <v/>
      </c>
      <c r="AB56" s="11" t="str">
        <v>SIM-051</v>
      </c>
      <c r="AC56" s="11" t="str">
        <v>sim-051</v>
      </c>
    </row>
    <row r="57">
      <c r="A57" s="22" t="str">
        <f>IF(OR($O57&gt;0,COUNTIF('CONTROL_PENDIENTES'!$A$5:$A$8,"GLOBAL")&gt;0,COUNTIF(INDEX('MATRIZ_DIARIA_SABANA'!$F$6:$AJ$60,MATCH($AB57,'MATRIZ_DIARIA_SABANA'!$B$6:$B$60,0),0),"~?")&gt;0,AND($R57&lt;&gt;0,LEN(TRIM($S57))=0),AND($U57&lt;&gt;0,LEN(TRIM($V57))=0),AND($X57&lt;&gt;0,LEN(TRIM($Y57))=0),$I57&lt;0,$J57&lt;0,$N57&lt;0),"BLOQUEADO","LISTO PARA REVISIÓN RR. HH.")</f>
        <v>LISTO PARA REVISIÓN RR. HH.</v>
      </c>
      <c r="B57" s="23" t="str">
        <v>FICTICIO-052</v>
      </c>
      <c r="C57" s="24" t="str">
        <v>PERSONA SIMULADA 52</v>
      </c>
      <c r="D57" s="25" t="str">
        <v>Producción</v>
      </c>
      <c r="E57" s="23" t="str">
        <v>CC-PROD — Producción</v>
      </c>
      <c r="F57" s="24" t="str">
        <v>L-V 08:00-17:00</v>
      </c>
      <c r="G57" s="26">
        <f>COUNTIF(INDEX('MATRIZ_DIARIA_SABANA'!$F$6:$AJ$60,MATCH($AB57,'MATRIZ_DIARIA_SABANA'!$B$6:$B$60,0),0),"P")</f>
        <v>22</v>
      </c>
      <c r="H57" s="27">
        <v>0</v>
      </c>
      <c r="I57" s="27">
        <f>Q57+R57/1440</f>
        <v>0</v>
      </c>
      <c r="J57" s="27">
        <f>T57+U57/1440</f>
        <v>0</v>
      </c>
      <c r="K57" s="27">
        <v>0</v>
      </c>
      <c r="L57" s="27">
        <v>0</v>
      </c>
      <c r="M57" s="26">
        <v>0</v>
      </c>
      <c r="N57" s="28">
        <f>W57+X57</f>
        <v>0</v>
      </c>
      <c r="O57" s="26">
        <v>0</v>
      </c>
      <c r="P57" s="24" t="str">
        <v/>
      </c>
      <c r="Q57" s="29">
        <v>0</v>
      </c>
      <c r="R57" s="20">
        <v>0</v>
      </c>
      <c r="S57" s="19" t="str">
        <v/>
      </c>
      <c r="T57" s="29">
        <v>0</v>
      </c>
      <c r="U57" s="20">
        <v>0</v>
      </c>
      <c r="V57" s="19" t="str">
        <v/>
      </c>
      <c r="W57" s="30">
        <v>0</v>
      </c>
      <c r="X57" s="20">
        <v>0</v>
      </c>
      <c r="Y57" s="19" t="str">
        <v/>
      </c>
      <c r="Z57" s="24" t="str">
        <v/>
      </c>
      <c r="AA57" s="24" t="str">
        <v/>
      </c>
      <c r="AB57" s="23" t="str">
        <v>SIM-052</v>
      </c>
      <c r="AC57" s="23" t="str">
        <v>sim-052</v>
      </c>
    </row>
    <row r="58">
      <c r="A58" s="10" t="str">
        <f>IF(OR($O58&gt;0,COUNTIF('CONTROL_PENDIENTES'!$A$5:$A$8,"GLOBAL")&gt;0,COUNTIF(INDEX('MATRIZ_DIARIA_SABANA'!$F$6:$AJ$60,MATCH($AB58,'MATRIZ_DIARIA_SABANA'!$B$6:$B$60,0),0),"~?")&gt;0,AND($R58&lt;&gt;0,LEN(TRIM($S58))=0),AND($U58&lt;&gt;0,LEN(TRIM($V58))=0),AND($X58&lt;&gt;0,LEN(TRIM($Y58))=0),$I58&lt;0,$J58&lt;0,$N58&lt;0),"BLOQUEADO","LISTO PARA REVISIÓN RR. HH.")</f>
        <v>LISTO PARA REVISIÓN RR. HH.</v>
      </c>
      <c r="B58" s="11" t="str">
        <v>FICTICIO-053</v>
      </c>
      <c r="C58" s="12" t="str">
        <v>PERSONA SIMULADA 53</v>
      </c>
      <c r="D58" s="13" t="str">
        <v>Administración</v>
      </c>
      <c r="E58" s="11" t="str">
        <v>CC-ADM — Administración</v>
      </c>
      <c r="F58" s="12" t="str">
        <v>L-V 08:30-17:30</v>
      </c>
      <c r="G58" s="14">
        <f>COUNTIF(INDEX('MATRIZ_DIARIA_SABANA'!$F$6:$AJ$60,MATCH($AB58,'MATRIZ_DIARIA_SABANA'!$B$6:$B$60,0),0),"P")</f>
        <v>22</v>
      </c>
      <c r="H58" s="15">
        <v>0</v>
      </c>
      <c r="I58" s="15">
        <f>Q58+R58/1440</f>
        <v>0</v>
      </c>
      <c r="J58" s="15">
        <f>T58+U58/1440</f>
        <v>0</v>
      </c>
      <c r="K58" s="15">
        <v>0</v>
      </c>
      <c r="L58" s="15">
        <v>0</v>
      </c>
      <c r="M58" s="14">
        <v>0</v>
      </c>
      <c r="N58" s="16">
        <f>W58+X58</f>
        <v>0</v>
      </c>
      <c r="O58" s="14">
        <v>0</v>
      </c>
      <c r="P58" s="12" t="str">
        <v/>
      </c>
      <c r="Q58" s="17">
        <v>0</v>
      </c>
      <c r="R58" s="20">
        <v>0</v>
      </c>
      <c r="S58" s="19" t="str">
        <v/>
      </c>
      <c r="T58" s="17">
        <v>0</v>
      </c>
      <c r="U58" s="20">
        <v>0</v>
      </c>
      <c r="V58" s="19" t="str">
        <v/>
      </c>
      <c r="W58" s="21">
        <v>0</v>
      </c>
      <c r="X58" s="20">
        <v>0</v>
      </c>
      <c r="Y58" s="19" t="str">
        <v/>
      </c>
      <c r="Z58" s="12" t="str">
        <v/>
      </c>
      <c r="AA58" s="12" t="str">
        <v/>
      </c>
      <c r="AB58" s="11" t="str">
        <v>SIM-053</v>
      </c>
      <c r="AC58" s="11" t="str">
        <v>sim-053</v>
      </c>
    </row>
    <row r="59">
      <c r="A59" s="22" t="str">
        <f>IF(OR($O59&gt;0,COUNTIF('CONTROL_PENDIENTES'!$A$5:$A$8,"GLOBAL")&gt;0,COUNTIF(INDEX('MATRIZ_DIARIA_SABANA'!$F$6:$AJ$60,MATCH($AB59,'MATRIZ_DIARIA_SABANA'!$B$6:$B$60,0),0),"~?")&gt;0,AND($R59&lt;&gt;0,LEN(TRIM($S59))=0),AND($U59&lt;&gt;0,LEN(TRIM($V59))=0),AND($X59&lt;&gt;0,LEN(TRIM($Y59))=0),$I59&lt;0,$J59&lt;0,$N59&lt;0),"BLOQUEADO","LISTO PARA REVISIÓN RR. HH.")</f>
        <v>LISTO PARA REVISIÓN RR. HH.</v>
      </c>
      <c r="B59" s="23" t="str">
        <v>FICTICIO-054</v>
      </c>
      <c r="C59" s="24" t="str">
        <v>PERSONA SIMULADA 54</v>
      </c>
      <c r="D59" s="25" t="str">
        <v>Instalación</v>
      </c>
      <c r="E59" s="23" t="str">
        <v>CC-INST — Instalaciones</v>
      </c>
      <c r="F59" s="24" t="str">
        <v>L-V 08:00-17:00</v>
      </c>
      <c r="G59" s="26">
        <f>COUNTIF(INDEX('MATRIZ_DIARIA_SABANA'!$F$6:$AJ$60,MATCH($AB59,'MATRIZ_DIARIA_SABANA'!$B$6:$B$60,0),0),"P")</f>
        <v>22</v>
      </c>
      <c r="H59" s="27">
        <v>0</v>
      </c>
      <c r="I59" s="27">
        <f>Q59+R59/1440</f>
        <v>0</v>
      </c>
      <c r="J59" s="27">
        <f>T59+U59/1440</f>
        <v>0</v>
      </c>
      <c r="K59" s="27">
        <v>0</v>
      </c>
      <c r="L59" s="27">
        <v>0</v>
      </c>
      <c r="M59" s="26">
        <v>0</v>
      </c>
      <c r="N59" s="28">
        <f>W59+X59</f>
        <v>0</v>
      </c>
      <c r="O59" s="26">
        <v>0</v>
      </c>
      <c r="P59" s="24" t="str">
        <v/>
      </c>
      <c r="Q59" s="29">
        <v>0</v>
      </c>
      <c r="R59" s="20">
        <v>0</v>
      </c>
      <c r="S59" s="19" t="str">
        <v/>
      </c>
      <c r="T59" s="29">
        <v>0</v>
      </c>
      <c r="U59" s="20">
        <v>0</v>
      </c>
      <c r="V59" s="19" t="str">
        <v/>
      </c>
      <c r="W59" s="30">
        <v>0</v>
      </c>
      <c r="X59" s="20">
        <v>0</v>
      </c>
      <c r="Y59" s="19" t="str">
        <v/>
      </c>
      <c r="Z59" s="24" t="str">
        <v/>
      </c>
      <c r="AA59" s="24" t="str">
        <v/>
      </c>
      <c r="AB59" s="23" t="str">
        <v>SIM-054</v>
      </c>
      <c r="AC59" s="23" t="str">
        <v>sim-054</v>
      </c>
    </row>
    <row r="60">
      <c r="A60" s="10" t="str">
        <f>IF(OR($O60&gt;0,COUNTIF('CONTROL_PENDIENTES'!$A$5:$A$8,"GLOBAL")&gt;0,COUNTIF(INDEX('MATRIZ_DIARIA_SABANA'!$F$6:$AJ$60,MATCH($AB60,'MATRIZ_DIARIA_SABANA'!$B$6:$B$60,0),0),"~?")&gt;0,AND($R60&lt;&gt;0,LEN(TRIM($S60))=0),AND($U60&lt;&gt;0,LEN(TRIM($V60))=0),AND($X60&lt;&gt;0,LEN(TRIM($Y60))=0),$I60&lt;0,$J60&lt;0,$N60&lt;0),"BLOQUEADO","LISTO PARA REVISIÓN RR. HH.")</f>
        <v>LISTO PARA REVISIÓN RR. HH.</v>
      </c>
      <c r="B60" s="11" t="str">
        <v>FICTICIO-055</v>
      </c>
      <c r="C60" s="12" t="str">
        <v>PERSONA SIMULADA 55</v>
      </c>
      <c r="D60" s="13" t="str">
        <v>Producción</v>
      </c>
      <c r="E60" s="11" t="str">
        <v>CC-PROD — Producción</v>
      </c>
      <c r="F60" s="12" t="str">
        <v>L-V 08:00-17:00</v>
      </c>
      <c r="G60" s="14">
        <f>COUNTIF(INDEX('MATRIZ_DIARIA_SABANA'!$F$6:$AJ$60,MATCH($AB60,'MATRIZ_DIARIA_SABANA'!$B$6:$B$60,0),0),"P")</f>
        <v>22</v>
      </c>
      <c r="H60" s="15">
        <v>0</v>
      </c>
      <c r="I60" s="15">
        <f>Q60+R60/1440</f>
        <v>0</v>
      </c>
      <c r="J60" s="15">
        <f>T60+U60/1440</f>
        <v>0</v>
      </c>
      <c r="K60" s="15">
        <v>0</v>
      </c>
      <c r="L60" s="15">
        <v>0</v>
      </c>
      <c r="M60" s="14">
        <v>0</v>
      </c>
      <c r="N60" s="16">
        <f>W60+X60</f>
        <v>0</v>
      </c>
      <c r="O60" s="14">
        <v>0</v>
      </c>
      <c r="P60" s="12" t="str">
        <v/>
      </c>
      <c r="Q60" s="17">
        <v>0</v>
      </c>
      <c r="R60" s="20">
        <v>0</v>
      </c>
      <c r="S60" s="19" t="str">
        <v/>
      </c>
      <c r="T60" s="17">
        <v>0</v>
      </c>
      <c r="U60" s="20">
        <v>0</v>
      </c>
      <c r="V60" s="19" t="str">
        <v/>
      </c>
      <c r="W60" s="21">
        <v>0</v>
      </c>
      <c r="X60" s="20">
        <v>0</v>
      </c>
      <c r="Y60" s="19" t="str">
        <v/>
      </c>
      <c r="Z60" s="12" t="str">
        <v/>
      </c>
      <c r="AA60" s="12" t="str">
        <v/>
      </c>
      <c r="AB60" s="11" t="str">
        <v>SIM-055</v>
      </c>
      <c r="AC60" s="11" t="str">
        <v>sim-055</v>
      </c>
    </row>
    <row r="61">
      <c r="A61" s="31" t="str">
        <f>IF(COUNTIF(A6:A60,"BLOQUEADO")&gt;0,"BLOQUEADO","BLOQUEADO")</f>
        <v>BLOQUEADO</v>
      </c>
      <c r="B61" s="31" t="str">
        <v/>
      </c>
      <c r="C61" s="31" t="str">
        <v>TOTAL EMPRESA</v>
      </c>
      <c r="D61" s="31" t="str">
        <v/>
      </c>
      <c r="E61" s="31" t="str">
        <v/>
      </c>
      <c r="F61" s="32" t="str">
        <v/>
      </c>
      <c r="G61" s="33">
        <f>SUM(G6:G60)</f>
        <v>1179</v>
      </c>
      <c r="H61" s="34">
        <f>SUM(H6:H60)</f>
        <v>0</v>
      </c>
      <c r="I61" s="34">
        <f>SUM(I6:I60)</f>
        <v>0.16666666666666666</v>
      </c>
      <c r="J61" s="34">
        <f>SUM(J6:J60)</f>
        <v>0.4583333333333333</v>
      </c>
      <c r="K61" s="34">
        <f>SUM(K6:K60)</f>
        <v>0.008333333333333333</v>
      </c>
      <c r="L61" s="34">
        <f>SUM(L6:L60)</f>
        <v>0</v>
      </c>
      <c r="M61" s="33">
        <f>SUM(M6:M60)</f>
        <v>4</v>
      </c>
      <c r="N61" s="35">
        <f>SUM(N6:N60)</f>
        <v>4000</v>
      </c>
      <c r="O61" s="33">
        <f>SUM(O6:O60)</f>
        <v>4</v>
      </c>
      <c r="P61" s="32" t="str">
        <v/>
      </c>
      <c r="Q61" s="34">
        <f>SUM(Q6:Q60)</f>
        <v>0.16666666666666666</v>
      </c>
      <c r="R61" s="33">
        <f>SUM(R6:R60)</f>
        <v>0</v>
      </c>
      <c r="S61" s="32" t="str">
        <v/>
      </c>
      <c r="T61" s="34">
        <f>SUM(T6:T60)</f>
        <v>0.4583333333333333</v>
      </c>
      <c r="U61" s="33">
        <f>SUM(U6:U60)</f>
        <v>0</v>
      </c>
      <c r="V61" s="32" t="str">
        <v/>
      </c>
      <c r="W61" s="35">
        <f>SUM(W6:W60)</f>
        <v>4000</v>
      </c>
      <c r="X61" s="33">
        <f>SUM(X6:X60)</f>
        <v>0</v>
      </c>
      <c r="Y61" s="32" t="str">
        <v/>
      </c>
      <c r="Z61" s="32" t="str">
        <v/>
      </c>
      <c r="AA61" s="32" t="str">
        <v/>
      </c>
      <c r="AB61" s="32" t="str">
        <v/>
      </c>
      <c r="AC61" s="32" t="str">
        <v/>
      </c>
    </row>
  </sheetData>
  <autoFilter ref="A5:AC60"/>
  <mergeCells count="4">
    <mergeCell ref="A1:P1"/>
    <mergeCell ref="A2:P2"/>
    <mergeCell ref="A3:P3"/>
    <mergeCell ref="A4:P4"/>
  </mergeCells>
  <conditionalFormatting sqref="R6:R60">
    <cfRule type="expression" dxfId="0" priority="1">
      <formula>R6&lt;&gt;0</formula>
    </cfRule>
  </conditionalFormatting>
  <conditionalFormatting sqref="U6:U60">
    <cfRule type="expression" dxfId="1" priority="2">
      <formula>U6&lt;&gt;0</formula>
    </cfRule>
  </conditionalFormatting>
  <conditionalFormatting sqref="X6:X60">
    <cfRule type="expression" dxfId="2" priority="3">
      <formula>X6&lt;&gt;0</formula>
    </cfRule>
  </conditionalFormatting>
  <conditionalFormatting sqref="S6:S60">
    <cfRule type="expression" dxfId="3" priority="4">
      <formula>AND($R6&lt;&gt;0,LEN(TRIM($S6))=0)</formula>
    </cfRule>
  </conditionalFormatting>
  <conditionalFormatting sqref="V6:V60">
    <cfRule type="expression" dxfId="4" priority="5">
      <formula>AND($U6&lt;&gt;0,LEN(TRIM($V6))=0)</formula>
    </cfRule>
  </conditionalFormatting>
  <conditionalFormatting sqref="Y6:Y60">
    <cfRule type="expression" dxfId="5" priority="6">
      <formula>AND($X6&lt;&gt;0,LEN(TRIM($Y6))=0)</formula>
    </cfRule>
  </conditionalFormatting>
  <conditionalFormatting sqref="I6:J60">
    <cfRule type="expression" dxfId="6" priority="7">
      <formula>I6&lt;0</formula>
    </cfRule>
  </conditionalFormatting>
  <conditionalFormatting sqref="N6:N60">
    <cfRule type="expression" dxfId="7" priority="8">
      <formula>N6&lt;0</formula>
    </cfRule>
  </conditionalFormatting>
  <conditionalFormatting sqref="A6:A60">
    <cfRule type="expression" dxfId="8" priority="9">
      <formula>$A6="BLOQUEADO"</formula>
    </cfRule>
  </conditionalFormatting>
  <conditionalFormatting sqref="A6:A60">
    <cfRule type="expression" dxfId="9" priority="10">
      <formula>$A6="LISTO PARA REVISIÓN RR. HH."</formula>
    </cfRule>
  </conditionalFormatting>
  <conditionalFormatting sqref="A6:A60">
    <cfRule type="expression" dxfId="10" priority="11">
      <formula>$A6="CERRADO"</formula>
    </cfRule>
  </conditionalFormatting>
  <ignoredErrors>
    <ignoredError numberStoredAsText="1" sqref="A1:AC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4" ySplit="4" topLeftCell="E5" activePane="bottomRight" state="frozen"/>
      <selection pane="bottomRight" activeCell="E5" sqref="E5"/>
    </sheetView>
  </sheetViews>
  <cols>
    <col min="1" max="1" width="12.83203125" customWidth="1"/>
    <col min="2" max="2" width="17.83203125" customWidth="1"/>
    <col min="3" max="3" width="15.83203125" customWidth="1"/>
    <col min="4" max="4" width="30.83203125" customWidth="1"/>
    <col min="5" max="5" width="18.83203125" customWidth="1"/>
    <col min="6" max="6" width="13.83203125" customWidth="1"/>
    <col min="7" max="7" width="38.83203125" customWidth="1"/>
    <col min="8" max="8" width="12.83203125" customWidth="1"/>
    <col min="9" max="9" width="10.83203125" customWidth="1"/>
    <col min="10" max="10" width="52.83203125" customWidth="1"/>
  </cols>
  <sheetData>
    <row r="1" ht="26" customHeight="1">
      <c r="A1" s="3" t="str">
        <v>CONTROL DE PENDIENTES DE PRE-CIERRE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20" customHeight="1">
      <c r="A2" s="5" t="str">
        <v>Período de novedades: Remuneraciones agosto de 2026 · 16 de julio al 15 de agosto de 2026 (corte estricto 16-15)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</row>
    <row r="3" ht="34" customHeight="1">
      <c r="A3" s="36" t="str">
        <v>4 incidencia(s) detectada(s). Deben resolverse en GESTORA y luego regenerar el libro.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</row>
    <row r="4" ht="34" customHeight="1">
      <c r="A4" s="9" t="str">
        <v>Alcance</v>
      </c>
      <c r="B4" s="9" t="str">
        <v>Código Workera</v>
      </c>
      <c r="C4" s="9" t="str">
        <v>RUT</v>
      </c>
      <c r="D4" s="9" t="str">
        <v>Nombre completo</v>
      </c>
      <c r="E4" s="9" t="str">
        <v>Centro de costo</v>
      </c>
      <c r="F4" s="9" t="str">
        <v>Fecha</v>
      </c>
      <c r="G4" s="9" t="str">
        <v>Incidencia</v>
      </c>
      <c r="H4" s="9" t="str">
        <v>Cantidad</v>
      </c>
      <c r="I4" s="9" t="str">
        <v>Unidad</v>
      </c>
      <c r="J4" s="9" t="str">
        <v>Acción requerida</v>
      </c>
    </row>
    <row r="5">
      <c r="A5" s="23" t="str">
        <v>PERSONA</v>
      </c>
      <c r="B5" s="23" t="str">
        <v>SIM-005</v>
      </c>
      <c r="C5" s="23" t="str">
        <v>FICTICIO-005</v>
      </c>
      <c r="D5" s="23" t="str">
        <v>PERSONA SIMULADA 05</v>
      </c>
      <c r="E5" s="23" t="str">
        <v>CC-ADM — Administración</v>
      </c>
      <c r="F5" s="37">
        <v>46221</v>
      </c>
      <c r="G5" s="24" t="str">
        <v>HH 50% sin decisión</v>
      </c>
      <c r="H5" s="38">
        <v>59</v>
      </c>
      <c r="I5" s="23" t="str">
        <v>min</v>
      </c>
      <c r="J5" s="24" t="str">
        <v>Aprobar o rechazar las horas extra.</v>
      </c>
    </row>
    <row r="6">
      <c r="A6" s="11" t="str">
        <v>PERSONA</v>
      </c>
      <c r="B6" s="11" t="str">
        <v>WK-003</v>
      </c>
      <c r="C6" s="11" t="str">
        <v>33333333-3</v>
      </c>
      <c r="D6" s="11" t="str">
        <v>CARLA SOTO</v>
      </c>
      <c r="E6" s="11" t="str">
        <v>CC-INST — Instalaciones</v>
      </c>
      <c r="F6" s="39">
        <v>46244</v>
      </c>
      <c r="G6" s="12" t="str">
        <v>Marcación incompleta</v>
      </c>
      <c r="H6" s="40" t="str">
        <v/>
      </c>
      <c r="I6" s="11" t="str">
        <v/>
      </c>
      <c r="J6" s="12" t="str">
        <v>Corregir o confirmar la entrada/salida en Pendientes.</v>
      </c>
    </row>
    <row r="7">
      <c r="A7" s="23" t="str">
        <v>PERSONA</v>
      </c>
      <c r="B7" s="23" t="str">
        <v>SIM-013</v>
      </c>
      <c r="C7" s="23" t="str">
        <v>FICTICIO-013</v>
      </c>
      <c r="D7" s="23" t="str">
        <v>PERSONA SIMULADA 13</v>
      </c>
      <c r="E7" s="23" t="str">
        <v>CC-PROD — Producción</v>
      </c>
      <c r="F7" s="37">
        <v>46244</v>
      </c>
      <c r="G7" s="24" t="str">
        <v>Salida anticipada por resolver</v>
      </c>
      <c r="H7" s="38">
        <v>25</v>
      </c>
      <c r="I7" s="23" t="str">
        <v>min</v>
      </c>
      <c r="J7" s="24" t="str">
        <v>Justificar o confirmar el descuento.</v>
      </c>
    </row>
    <row r="8">
      <c r="A8" s="11" t="str">
        <v>PERSONA</v>
      </c>
      <c r="B8" s="11" t="str">
        <v>SIM-014</v>
      </c>
      <c r="C8" s="11" t="str">
        <v>FICTICIO-014</v>
      </c>
      <c r="D8" s="11" t="str">
        <v>PERSONA SIMULADA 14</v>
      </c>
      <c r="E8" s="11" t="str">
        <v>CC-ADM — Administración</v>
      </c>
      <c r="F8" s="39">
        <v>46245</v>
      </c>
      <c r="G8" s="12" t="str">
        <v>Marcación incompleta</v>
      </c>
      <c r="H8" s="40" t="str">
        <v/>
      </c>
      <c r="I8" s="11" t="str">
        <v/>
      </c>
      <c r="J8" s="12" t="str">
        <v>Corregir o confirmar la entrada/salida en Pendientes.</v>
      </c>
    </row>
  </sheetData>
  <autoFilter ref="A4:J8"/>
  <mergeCells count="3">
    <mergeCell ref="A1:J1"/>
    <mergeCell ref="A2:J2"/>
    <mergeCell ref="A3:J3"/>
  </mergeCells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60"/>
  <sheetViews>
    <sheetView workbookViewId="0">
      <pane xSplit="5" ySplit="5" topLeftCell="F6" activePane="bottomRight" state="frozen"/>
      <selection pane="bottomRight" activeCell="F6" sqref="F6"/>
    </sheetView>
  </sheetViews>
  <cols>
    <col min="1" max="1" width="15.83203125" customWidth="1"/>
    <col min="2" max="2" width="17.83203125" customWidth="1"/>
    <col min="3" max="3" width="30.83203125" customWidth="1"/>
    <col min="4" max="4" width="32.83203125" customWidth="1"/>
    <col min="5" max="5" width="18.83203125" customWidth="1"/>
    <col min="6" max="6" width="8.33203125" customWidth="1"/>
    <col min="7" max="7" width="8.33203125" customWidth="1"/>
    <col min="8" max="8" width="8.33203125" customWidth="1"/>
    <col min="9" max="9" width="8.33203125" customWidth="1"/>
    <col min="10" max="10" width="8.33203125" customWidth="1"/>
    <col min="11" max="11" width="8.33203125" customWidth="1"/>
    <col min="12" max="12" width="8.33203125" customWidth="1"/>
    <col min="13" max="13" width="8.33203125" customWidth="1"/>
    <col min="14" max="14" width="8.33203125" customWidth="1"/>
    <col min="15" max="15" width="8.33203125" customWidth="1"/>
    <col min="16" max="16" width="8.33203125" customWidth="1"/>
    <col min="17" max="17" width="8.33203125" customWidth="1"/>
    <col min="18" max="18" width="8.33203125" customWidth="1"/>
    <col min="19" max="19" width="8.33203125" customWidth="1"/>
    <col min="20" max="20" width="8.33203125" customWidth="1"/>
    <col min="21" max="21" width="8.33203125" customWidth="1"/>
    <col min="22" max="22" width="8.33203125" customWidth="1"/>
    <col min="23" max="23" width="8.33203125" customWidth="1"/>
    <col min="24" max="24" width="8.33203125" customWidth="1"/>
    <col min="25" max="25" width="8.33203125" customWidth="1"/>
    <col min="26" max="26" width="8.33203125" customWidth="1"/>
    <col min="27" max="27" width="8.33203125" customWidth="1"/>
    <col min="28" max="28" width="8.33203125" customWidth="1"/>
    <col min="29" max="29" width="8.33203125" customWidth="1"/>
    <col min="30" max="30" width="8.33203125" customWidth="1"/>
    <col min="31" max="31" width="8.33203125" customWidth="1"/>
    <col min="32" max="32" width="8.33203125" customWidth="1"/>
    <col min="33" max="33" width="8.33203125" customWidth="1"/>
    <col min="34" max="34" width="8.33203125" customWidth="1"/>
    <col min="35" max="35" width="8.33203125" customWidth="1"/>
    <col min="36" max="36" width="8.33203125" customWidth="1"/>
  </cols>
  <sheetData>
    <row r="1" ht="26" customHeight="1">
      <c r="A1" s="3" t="str">
        <v>MATRIZ DIARIA DE ASISTENCIA · RESPALDO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22" customHeight="1">
      <c r="A2" s="5" t="str">
        <v>Período: Remuneraciones agosto de 2026 · 16 de julio al 15 de agosto de 2026 · BORRADOR — el período 16-15 no está cerrado y 4 persona(s) requieren revisión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 ht="44" customHeight="1">
      <c r="A3" s="5" t="str">
        <v>Códigos oficiales: P=PRESENTE | F=FALTA | F-P=FALTA CON PERMISO | F-J=FALTA JUSTIFICADA | P-L=PERMISO "LEGAL" | P-M=PERMISO MATERNAL | V=VACACIONES | L=LICENCIA | L-M=LICENCIA MUTUAL | ?=TARJETA NO MARCADA O CON PROBLEMAS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 ht="22" customHeight="1">
      <c r="A4" s="7" t="str">
        <v>Una fila por trabajador. '?' identifica un dato no definitivo y siempre bloquea el pago.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 ht="44" customHeight="1">
      <c r="A5" s="9" t="str">
        <v>RUT</v>
      </c>
      <c r="B5" s="9" t="str">
        <v>Código Workera</v>
      </c>
      <c r="C5" s="9" t="str">
        <v>Nombre completo</v>
      </c>
      <c r="D5" s="9" t="str">
        <v>Jornada</v>
      </c>
      <c r="E5" s="9" t="str">
        <v>Centro de costo</v>
      </c>
      <c r="F5" s="41">
        <v>46219</v>
      </c>
      <c r="G5" s="41">
        <v>46220</v>
      </c>
      <c r="H5" s="41">
        <v>46221</v>
      </c>
      <c r="I5" s="41">
        <v>46222</v>
      </c>
      <c r="J5" s="41">
        <v>46223</v>
      </c>
      <c r="K5" s="41">
        <v>46224</v>
      </c>
      <c r="L5" s="41">
        <v>46225</v>
      </c>
      <c r="M5" s="41">
        <v>46226</v>
      </c>
      <c r="N5" s="41">
        <v>46227</v>
      </c>
      <c r="O5" s="41">
        <v>46228</v>
      </c>
      <c r="P5" s="41">
        <v>46229</v>
      </c>
      <c r="Q5" s="41">
        <v>46230</v>
      </c>
      <c r="R5" s="41">
        <v>46231</v>
      </c>
      <c r="S5" s="41">
        <v>46232</v>
      </c>
      <c r="T5" s="41">
        <v>46233</v>
      </c>
      <c r="U5" s="41">
        <v>46234</v>
      </c>
      <c r="V5" s="41">
        <v>46235</v>
      </c>
      <c r="W5" s="41">
        <v>46236</v>
      </c>
      <c r="X5" s="41">
        <v>46237</v>
      </c>
      <c r="Y5" s="41">
        <v>46238</v>
      </c>
      <c r="Z5" s="41">
        <v>46239</v>
      </c>
      <c r="AA5" s="41">
        <v>46240</v>
      </c>
      <c r="AB5" s="41">
        <v>46241</v>
      </c>
      <c r="AC5" s="41">
        <v>46242</v>
      </c>
      <c r="AD5" s="41">
        <v>46243</v>
      </c>
      <c r="AE5" s="41">
        <v>46244</v>
      </c>
      <c r="AF5" s="41">
        <v>46245</v>
      </c>
      <c r="AG5" s="41">
        <v>46246</v>
      </c>
      <c r="AH5" s="41">
        <v>46247</v>
      </c>
      <c r="AI5" s="41">
        <v>46248</v>
      </c>
      <c r="AJ5" s="41">
        <v>46249</v>
      </c>
    </row>
    <row r="6">
      <c r="A6" s="11" t="str">
        <v>33333333-3</v>
      </c>
      <c r="B6" s="11" t="str">
        <v>WK-003</v>
      </c>
      <c r="C6" s="12" t="str">
        <v>CARLA SOTO</v>
      </c>
      <c r="D6" s="12" t="str">
        <v>L-V 08:00-17:00</v>
      </c>
      <c r="E6" s="11" t="str">
        <v>CC-INST — Instalaciones</v>
      </c>
      <c r="F6" s="42" t="str">
        <v>P</v>
      </c>
      <c r="G6" s="13" t="str">
        <v>P</v>
      </c>
      <c r="H6" s="43" t="str">
        <v/>
      </c>
      <c r="I6" s="43" t="str">
        <v/>
      </c>
      <c r="J6" s="13" t="str">
        <v>P</v>
      </c>
      <c r="K6" s="13" t="str">
        <v>P</v>
      </c>
      <c r="L6" s="13" t="str">
        <v>P</v>
      </c>
      <c r="M6" s="13" t="str">
        <v>P</v>
      </c>
      <c r="N6" s="13" t="str">
        <v>P</v>
      </c>
      <c r="O6" s="43" t="str">
        <v/>
      </c>
      <c r="P6" s="43" t="str">
        <v/>
      </c>
      <c r="Q6" s="13" t="str">
        <v>P</v>
      </c>
      <c r="R6" s="13" t="str">
        <v>P</v>
      </c>
      <c r="S6" s="13" t="str">
        <v>P</v>
      </c>
      <c r="T6" s="13" t="str">
        <v>P</v>
      </c>
      <c r="U6" s="13" t="str">
        <v>P</v>
      </c>
      <c r="V6" s="43" t="str">
        <v/>
      </c>
      <c r="W6" s="43" t="str">
        <v/>
      </c>
      <c r="X6" s="13" t="str">
        <v>P</v>
      </c>
      <c r="Y6" s="13" t="str">
        <v>P</v>
      </c>
      <c r="Z6" s="13" t="str">
        <v>P</v>
      </c>
      <c r="AA6" s="13" t="str">
        <v>P</v>
      </c>
      <c r="AB6" s="13" t="str">
        <v>P</v>
      </c>
      <c r="AC6" s="43" t="str">
        <v/>
      </c>
      <c r="AD6" s="43" t="str">
        <v/>
      </c>
      <c r="AE6" s="43" t="str">
        <v>?</v>
      </c>
      <c r="AF6" s="13" t="str">
        <v>P</v>
      </c>
      <c r="AG6" s="13" t="str">
        <v>P</v>
      </c>
      <c r="AH6" s="13" t="str">
        <v>P</v>
      </c>
      <c r="AI6" s="13" t="str">
        <v>P</v>
      </c>
      <c r="AJ6" s="43" t="str">
        <v/>
      </c>
    </row>
    <row r="7">
      <c r="A7" s="23" t="str">
        <v>44444444-4</v>
      </c>
      <c r="B7" s="23" t="str">
        <v>WK-004</v>
      </c>
      <c r="C7" s="24" t="str">
        <v>DIEGO PÉREZ</v>
      </c>
      <c r="D7" s="24" t="str">
        <v>Exento de marcación</v>
      </c>
      <c r="E7" s="23" t="str">
        <v>CC-ADM — Administración</v>
      </c>
      <c r="F7" s="43" t="str">
        <v/>
      </c>
      <c r="G7" s="43" t="str">
        <v/>
      </c>
      <c r="H7" s="43" t="str">
        <v/>
      </c>
      <c r="I7" s="43" t="str">
        <v/>
      </c>
      <c r="J7" s="43" t="str">
        <v/>
      </c>
      <c r="K7" s="43" t="str">
        <v/>
      </c>
      <c r="L7" s="43" t="str">
        <v/>
      </c>
      <c r="M7" s="43" t="str">
        <v/>
      </c>
      <c r="N7" s="43" t="str">
        <v/>
      </c>
      <c r="O7" s="43" t="str">
        <v/>
      </c>
      <c r="P7" s="43" t="str">
        <v/>
      </c>
      <c r="Q7" s="43" t="str">
        <v/>
      </c>
      <c r="R7" s="43" t="str">
        <v/>
      </c>
      <c r="S7" s="43" t="str">
        <v/>
      </c>
      <c r="T7" s="43" t="str">
        <v/>
      </c>
      <c r="U7" s="43" t="str">
        <v/>
      </c>
      <c r="V7" s="43" t="str">
        <v/>
      </c>
      <c r="W7" s="43" t="str">
        <v/>
      </c>
      <c r="X7" s="43" t="str">
        <v/>
      </c>
      <c r="Y7" s="43" t="str">
        <v/>
      </c>
      <c r="Z7" s="43" t="str">
        <v/>
      </c>
      <c r="AA7" s="43" t="str">
        <v/>
      </c>
      <c r="AB7" s="43" t="str">
        <v/>
      </c>
      <c r="AC7" s="43" t="str">
        <v/>
      </c>
      <c r="AD7" s="43" t="str">
        <v/>
      </c>
      <c r="AE7" s="43" t="str">
        <v/>
      </c>
      <c r="AF7" s="43" t="str">
        <v/>
      </c>
      <c r="AG7" s="43" t="str">
        <v/>
      </c>
      <c r="AH7" s="43" t="str">
        <v/>
      </c>
      <c r="AI7" s="43" t="str">
        <v/>
      </c>
      <c r="AJ7" s="43" t="str">
        <v/>
      </c>
    </row>
    <row r="8">
      <c r="A8" s="11" t="str">
        <v>22222222-2</v>
      </c>
      <c r="B8" s="11" t="str">
        <v>WK-002</v>
      </c>
      <c r="C8" s="12" t="str">
        <v>JUAN PÉREZ</v>
      </c>
      <c r="D8" s="12" t="str">
        <v>L-J 08:00-17:30 · V 08:00-15:20</v>
      </c>
      <c r="E8" s="11" t="str">
        <v>CC-PROD — Producción</v>
      </c>
      <c r="F8" s="42" t="str">
        <v>P</v>
      </c>
      <c r="G8" s="13" t="str">
        <v>P</v>
      </c>
      <c r="H8" s="43" t="str">
        <v/>
      </c>
      <c r="I8" s="43" t="str">
        <v/>
      </c>
      <c r="J8" s="13" t="str">
        <v>P</v>
      </c>
      <c r="K8" s="13" t="str">
        <v>P</v>
      </c>
      <c r="L8" s="13" t="str">
        <v>P</v>
      </c>
      <c r="M8" s="13" t="str">
        <v>P</v>
      </c>
      <c r="N8" s="13" t="str">
        <v>P</v>
      </c>
      <c r="O8" s="43" t="str">
        <v/>
      </c>
      <c r="P8" s="43" t="str">
        <v/>
      </c>
      <c r="Q8" s="13" t="str">
        <v>P</v>
      </c>
      <c r="R8" s="13" t="str">
        <v>P</v>
      </c>
      <c r="S8" s="13" t="str">
        <v>P</v>
      </c>
      <c r="T8" s="13" t="str">
        <v>P</v>
      </c>
      <c r="U8" s="13" t="str">
        <v>P</v>
      </c>
      <c r="V8" s="43" t="str">
        <v/>
      </c>
      <c r="W8" s="43" t="str">
        <v/>
      </c>
      <c r="X8" s="13" t="str">
        <v>L</v>
      </c>
      <c r="Y8" s="13" t="str">
        <v>L</v>
      </c>
      <c r="Z8" s="13" t="str">
        <v>L</v>
      </c>
      <c r="AA8" s="13" t="str">
        <v>P</v>
      </c>
      <c r="AB8" s="13" t="str">
        <v>P</v>
      </c>
      <c r="AC8" s="43" t="str">
        <v/>
      </c>
      <c r="AD8" s="44" t="str">
        <v>P</v>
      </c>
      <c r="AE8" s="13" t="str">
        <v>P</v>
      </c>
      <c r="AF8" s="13" t="str">
        <v>P</v>
      </c>
      <c r="AG8" s="13" t="str">
        <v>P</v>
      </c>
      <c r="AH8" s="13" t="str">
        <v>P</v>
      </c>
      <c r="AI8" s="13" t="str">
        <v>P</v>
      </c>
      <c r="AJ8" s="43" t="str">
        <v/>
      </c>
    </row>
    <row r="9">
      <c r="A9" s="23" t="str">
        <v>11111111-1</v>
      </c>
      <c r="B9" s="23" t="str">
        <v>WK-001</v>
      </c>
      <c r="C9" s="24" t="str">
        <v>MARÍA GONZÁLEZ</v>
      </c>
      <c r="D9" s="24" t="str">
        <v>L-J 08:30-18:00 · V 08:30-15:50</v>
      </c>
      <c r="E9" s="23" t="str">
        <v>CC-ADM — Administración</v>
      </c>
      <c r="F9" s="42" t="str">
        <v>P</v>
      </c>
      <c r="G9" s="25" t="str">
        <v>P</v>
      </c>
      <c r="H9" s="43" t="str">
        <v/>
      </c>
      <c r="I9" s="43" t="str">
        <v/>
      </c>
      <c r="J9" s="25" t="str">
        <v>F</v>
      </c>
      <c r="K9" s="25" t="str">
        <v>P</v>
      </c>
      <c r="L9" s="25" t="str">
        <v>P</v>
      </c>
      <c r="M9" s="25" t="str">
        <v>P</v>
      </c>
      <c r="N9" s="25" t="str">
        <v>P</v>
      </c>
      <c r="O9" s="43" t="str">
        <v/>
      </c>
      <c r="P9" s="43" t="str">
        <v/>
      </c>
      <c r="Q9" s="25" t="str">
        <v>V</v>
      </c>
      <c r="R9" s="25" t="str">
        <v>V</v>
      </c>
      <c r="S9" s="25" t="str">
        <v>P</v>
      </c>
      <c r="T9" s="25" t="str">
        <v>P</v>
      </c>
      <c r="U9" s="25" t="str">
        <v>P</v>
      </c>
      <c r="V9" s="43" t="str">
        <v/>
      </c>
      <c r="W9" s="43" t="str">
        <v/>
      </c>
      <c r="X9" s="25" t="str">
        <v>P</v>
      </c>
      <c r="Y9" s="25" t="str">
        <v>P</v>
      </c>
      <c r="Z9" s="25" t="str">
        <v>P</v>
      </c>
      <c r="AA9" s="25" t="str">
        <v>P</v>
      </c>
      <c r="AB9" s="25" t="str">
        <v>P</v>
      </c>
      <c r="AC9" s="43" t="str">
        <v/>
      </c>
      <c r="AD9" s="43" t="str">
        <v/>
      </c>
      <c r="AE9" s="25" t="str">
        <v>P</v>
      </c>
      <c r="AF9" s="25" t="str">
        <v>P</v>
      </c>
      <c r="AG9" s="25" t="str">
        <v>P</v>
      </c>
      <c r="AH9" s="25" t="str">
        <v>P</v>
      </c>
      <c r="AI9" s="25" t="str">
        <v>P</v>
      </c>
      <c r="AJ9" s="43" t="str">
        <v/>
      </c>
    </row>
    <row r="10">
      <c r="A10" s="11" t="str">
        <v>FICTICIO-005</v>
      </c>
      <c r="B10" s="11" t="str">
        <v>SIM-005</v>
      </c>
      <c r="C10" s="12" t="str">
        <v>PERSONA SIMULADA 05</v>
      </c>
      <c r="D10" s="12" t="str">
        <v>L-V 08:30-17:30</v>
      </c>
      <c r="E10" s="11" t="str">
        <v>CC-ADM — Administración</v>
      </c>
      <c r="F10" s="42" t="str">
        <v>P</v>
      </c>
      <c r="G10" s="13" t="str">
        <v>P</v>
      </c>
      <c r="H10" s="44" t="str">
        <v>P</v>
      </c>
      <c r="I10" s="43" t="str">
        <v/>
      </c>
      <c r="J10" s="13" t="str">
        <v>P</v>
      </c>
      <c r="K10" s="13" t="str">
        <v>P</v>
      </c>
      <c r="L10" s="13" t="str">
        <v>P</v>
      </c>
      <c r="M10" s="13" t="str">
        <v>P</v>
      </c>
      <c r="N10" s="13" t="str">
        <v>P</v>
      </c>
      <c r="O10" s="43" t="str">
        <v/>
      </c>
      <c r="P10" s="43" t="str">
        <v/>
      </c>
      <c r="Q10" s="13" t="str">
        <v>P</v>
      </c>
      <c r="R10" s="13" t="str">
        <v>P</v>
      </c>
      <c r="S10" s="13" t="str">
        <v>P</v>
      </c>
      <c r="T10" s="13" t="str">
        <v>P</v>
      </c>
      <c r="U10" s="13" t="str">
        <v>P</v>
      </c>
      <c r="V10" s="43" t="str">
        <v/>
      </c>
      <c r="W10" s="43" t="str">
        <v/>
      </c>
      <c r="X10" s="13" t="str">
        <v>P</v>
      </c>
      <c r="Y10" s="13" t="str">
        <v>P</v>
      </c>
      <c r="Z10" s="13" t="str">
        <v>P</v>
      </c>
      <c r="AA10" s="13" t="str">
        <v>P</v>
      </c>
      <c r="AB10" s="13" t="str">
        <v>P</v>
      </c>
      <c r="AC10" s="43" t="str">
        <v/>
      </c>
      <c r="AD10" s="43" t="str">
        <v/>
      </c>
      <c r="AE10" s="13" t="str">
        <v>P</v>
      </c>
      <c r="AF10" s="13" t="str">
        <v>P</v>
      </c>
      <c r="AG10" s="13" t="str">
        <v>P</v>
      </c>
      <c r="AH10" s="13" t="str">
        <v>P</v>
      </c>
      <c r="AI10" s="13" t="str">
        <v>P</v>
      </c>
      <c r="AJ10" s="43" t="str">
        <v/>
      </c>
    </row>
    <row r="11">
      <c r="A11" s="23" t="str">
        <v>FICTICIO-006</v>
      </c>
      <c r="B11" s="23" t="str">
        <v>SIM-006</v>
      </c>
      <c r="C11" s="24" t="str">
        <v>PERSONA SIMULADA 06</v>
      </c>
      <c r="D11" s="24" t="str">
        <v>L-V 08:00-17:00</v>
      </c>
      <c r="E11" s="23" t="str">
        <v>CC-INST — Instalaciones</v>
      </c>
      <c r="F11" s="42" t="str">
        <v>P</v>
      </c>
      <c r="G11" s="25" t="str">
        <v>P</v>
      </c>
      <c r="H11" s="43" t="str">
        <v/>
      </c>
      <c r="I11" s="43" t="str">
        <v/>
      </c>
      <c r="J11" s="25" t="str">
        <v>P</v>
      </c>
      <c r="K11" s="25" t="str">
        <v>P</v>
      </c>
      <c r="L11" s="25" t="str">
        <v>P</v>
      </c>
      <c r="M11" s="25" t="str">
        <v>P</v>
      </c>
      <c r="N11" s="25" t="str">
        <v>P</v>
      </c>
      <c r="O11" s="44" t="str">
        <v>P</v>
      </c>
      <c r="P11" s="43" t="str">
        <v/>
      </c>
      <c r="Q11" s="25" t="str">
        <v>P</v>
      </c>
      <c r="R11" s="25" t="str">
        <v>P</v>
      </c>
      <c r="S11" s="25" t="str">
        <v>P</v>
      </c>
      <c r="T11" s="25" t="str">
        <v>P</v>
      </c>
      <c r="U11" s="25" t="str">
        <v>P</v>
      </c>
      <c r="V11" s="43" t="str">
        <v/>
      </c>
      <c r="W11" s="43" t="str">
        <v/>
      </c>
      <c r="X11" s="25" t="str">
        <v>P</v>
      </c>
      <c r="Y11" s="25" t="str">
        <v>P</v>
      </c>
      <c r="Z11" s="25" t="str">
        <v>P</v>
      </c>
      <c r="AA11" s="25" t="str">
        <v>P</v>
      </c>
      <c r="AB11" s="25" t="str">
        <v>P</v>
      </c>
      <c r="AC11" s="43" t="str">
        <v/>
      </c>
      <c r="AD11" s="43" t="str">
        <v/>
      </c>
      <c r="AE11" s="25" t="str">
        <v>P</v>
      </c>
      <c r="AF11" s="25" t="str">
        <v>P</v>
      </c>
      <c r="AG11" s="25" t="str">
        <v>P</v>
      </c>
      <c r="AH11" s="25" t="str">
        <v>P</v>
      </c>
      <c r="AI11" s="25" t="str">
        <v>P</v>
      </c>
      <c r="AJ11" s="43" t="str">
        <v/>
      </c>
    </row>
    <row r="12">
      <c r="A12" s="11" t="str">
        <v>FICTICIO-007</v>
      </c>
      <c r="B12" s="11" t="str">
        <v>SIM-007</v>
      </c>
      <c r="C12" s="12" t="str">
        <v>PERSONA SIMULADA 07</v>
      </c>
      <c r="D12" s="12" t="str">
        <v>L-V 08:00-17:00</v>
      </c>
      <c r="E12" s="11" t="str">
        <v>CC-PROD — Producción</v>
      </c>
      <c r="F12" s="42" t="str">
        <v>P</v>
      </c>
      <c r="G12" s="13" t="str">
        <v>P</v>
      </c>
      <c r="H12" s="43" t="str">
        <v/>
      </c>
      <c r="I12" s="43" t="str">
        <v/>
      </c>
      <c r="J12" s="13" t="str">
        <v>P</v>
      </c>
      <c r="K12" s="13" t="str">
        <v>P</v>
      </c>
      <c r="L12" s="13" t="str">
        <v>P</v>
      </c>
      <c r="M12" s="13" t="str">
        <v>P</v>
      </c>
      <c r="N12" s="13" t="str">
        <v>P</v>
      </c>
      <c r="O12" s="43" t="str">
        <v/>
      </c>
      <c r="P12" s="44" t="str">
        <v>P</v>
      </c>
      <c r="Q12" s="13" t="str">
        <v>P</v>
      </c>
      <c r="R12" s="13" t="str">
        <v>P</v>
      </c>
      <c r="S12" s="13" t="str">
        <v>P</v>
      </c>
      <c r="T12" s="13" t="str">
        <v>P</v>
      </c>
      <c r="U12" s="13" t="str">
        <v>P</v>
      </c>
      <c r="V12" s="43" t="str">
        <v/>
      </c>
      <c r="W12" s="43" t="str">
        <v/>
      </c>
      <c r="X12" s="13" t="str">
        <v>P</v>
      </c>
      <c r="Y12" s="13" t="str">
        <v>P</v>
      </c>
      <c r="Z12" s="13" t="str">
        <v>P</v>
      </c>
      <c r="AA12" s="13" t="str">
        <v>P</v>
      </c>
      <c r="AB12" s="13" t="str">
        <v>P</v>
      </c>
      <c r="AC12" s="43" t="str">
        <v/>
      </c>
      <c r="AD12" s="43" t="str">
        <v/>
      </c>
      <c r="AE12" s="13" t="str">
        <v>P</v>
      </c>
      <c r="AF12" s="13" t="str">
        <v>P</v>
      </c>
      <c r="AG12" s="13" t="str">
        <v>P</v>
      </c>
      <c r="AH12" s="13" t="str">
        <v>P</v>
      </c>
      <c r="AI12" s="13" t="str">
        <v>P</v>
      </c>
      <c r="AJ12" s="43" t="str">
        <v/>
      </c>
    </row>
    <row r="13">
      <c r="A13" s="23" t="str">
        <v>FICTICIO-008</v>
      </c>
      <c r="B13" s="23" t="str">
        <v>SIM-008</v>
      </c>
      <c r="C13" s="24" t="str">
        <v>PERSONA SIMULADA 08</v>
      </c>
      <c r="D13" s="24" t="str">
        <v>L-V 08:30-17:30</v>
      </c>
      <c r="E13" s="23" t="str">
        <v>CC-ADM — Administración</v>
      </c>
      <c r="F13" s="42" t="str">
        <v>P</v>
      </c>
      <c r="G13" s="25" t="str">
        <v>P</v>
      </c>
      <c r="H13" s="43" t="str">
        <v/>
      </c>
      <c r="I13" s="43" t="str">
        <v/>
      </c>
      <c r="J13" s="25" t="str">
        <v>P</v>
      </c>
      <c r="K13" s="25" t="str">
        <v>P</v>
      </c>
      <c r="L13" s="25" t="str">
        <v>P</v>
      </c>
      <c r="M13" s="25" t="str">
        <v>P</v>
      </c>
      <c r="N13" s="25" t="str">
        <v>P</v>
      </c>
      <c r="O13" s="43" t="str">
        <v/>
      </c>
      <c r="P13" s="43" t="str">
        <v/>
      </c>
      <c r="Q13" s="25" t="str">
        <v>P</v>
      </c>
      <c r="R13" s="25" t="str">
        <v>P</v>
      </c>
      <c r="S13" s="25" t="str">
        <v>P</v>
      </c>
      <c r="T13" s="25" t="str">
        <v>P</v>
      </c>
      <c r="U13" s="25" t="str">
        <v>P</v>
      </c>
      <c r="V13" s="43" t="str">
        <v/>
      </c>
      <c r="W13" s="43" t="str">
        <v/>
      </c>
      <c r="X13" s="25" t="str">
        <v>F-P</v>
      </c>
      <c r="Y13" s="25" t="str">
        <v>P</v>
      </c>
      <c r="Z13" s="25" t="str">
        <v>P</v>
      </c>
      <c r="AA13" s="25" t="str">
        <v>P</v>
      </c>
      <c r="AB13" s="25" t="str">
        <v>P</v>
      </c>
      <c r="AC13" s="43" t="str">
        <v/>
      </c>
      <c r="AD13" s="43" t="str">
        <v/>
      </c>
      <c r="AE13" s="25" t="str">
        <v>P</v>
      </c>
      <c r="AF13" s="25" t="str">
        <v>P</v>
      </c>
      <c r="AG13" s="25" t="str">
        <v>P</v>
      </c>
      <c r="AH13" s="25" t="str">
        <v>P</v>
      </c>
      <c r="AI13" s="25" t="str">
        <v>P</v>
      </c>
      <c r="AJ13" s="43" t="str">
        <v/>
      </c>
    </row>
    <row r="14">
      <c r="A14" s="11" t="str">
        <v>FICTICIO-009</v>
      </c>
      <c r="B14" s="11" t="str">
        <v>SIM-009</v>
      </c>
      <c r="C14" s="12" t="str">
        <v>PERSONA SIMULADA 09</v>
      </c>
      <c r="D14" s="12" t="str">
        <v>L-V 08:00-17:00</v>
      </c>
      <c r="E14" s="11" t="str">
        <v>CC-INST — Instalaciones</v>
      </c>
      <c r="F14" s="42" t="str">
        <v>P</v>
      </c>
      <c r="G14" s="13" t="str">
        <v>P</v>
      </c>
      <c r="H14" s="43" t="str">
        <v/>
      </c>
      <c r="I14" s="43" t="str">
        <v/>
      </c>
      <c r="J14" s="13" t="str">
        <v>P</v>
      </c>
      <c r="K14" s="13" t="str">
        <v>P</v>
      </c>
      <c r="L14" s="13" t="str">
        <v>P</v>
      </c>
      <c r="M14" s="13" t="str">
        <v>P</v>
      </c>
      <c r="N14" s="13" t="str">
        <v>P</v>
      </c>
      <c r="O14" s="43" t="str">
        <v/>
      </c>
      <c r="P14" s="43" t="str">
        <v/>
      </c>
      <c r="Q14" s="13" t="str">
        <v>P</v>
      </c>
      <c r="R14" s="13" t="str">
        <v>P</v>
      </c>
      <c r="S14" s="13" t="str">
        <v>P</v>
      </c>
      <c r="T14" s="13" t="str">
        <v>P</v>
      </c>
      <c r="U14" s="13" t="str">
        <v>P</v>
      </c>
      <c r="V14" s="43" t="str">
        <v/>
      </c>
      <c r="W14" s="43" t="str">
        <v/>
      </c>
      <c r="X14" s="13" t="str">
        <v>P</v>
      </c>
      <c r="Y14" s="13" t="str">
        <v>F-J</v>
      </c>
      <c r="Z14" s="13" t="str">
        <v>P</v>
      </c>
      <c r="AA14" s="13" t="str">
        <v>P</v>
      </c>
      <c r="AB14" s="13" t="str">
        <v>P</v>
      </c>
      <c r="AC14" s="43" t="str">
        <v/>
      </c>
      <c r="AD14" s="43" t="str">
        <v/>
      </c>
      <c r="AE14" s="13" t="str">
        <v>P</v>
      </c>
      <c r="AF14" s="13" t="str">
        <v>P</v>
      </c>
      <c r="AG14" s="13" t="str">
        <v>P</v>
      </c>
      <c r="AH14" s="13" t="str">
        <v>P</v>
      </c>
      <c r="AI14" s="13" t="str">
        <v>P</v>
      </c>
      <c r="AJ14" s="43" t="str">
        <v/>
      </c>
    </row>
    <row r="15">
      <c r="A15" s="23" t="str">
        <v>FICTICIO-010</v>
      </c>
      <c r="B15" s="23" t="str">
        <v>SIM-010</v>
      </c>
      <c r="C15" s="24" t="str">
        <v>PERSONA SIMULADA 10</v>
      </c>
      <c r="D15" s="24" t="str">
        <v>L-V 08:00-17:00</v>
      </c>
      <c r="E15" s="23" t="str">
        <v>CC-PROD — Producción</v>
      </c>
      <c r="F15" s="42" t="str">
        <v>P</v>
      </c>
      <c r="G15" s="25" t="str">
        <v>P</v>
      </c>
      <c r="H15" s="43" t="str">
        <v/>
      </c>
      <c r="I15" s="43" t="str">
        <v/>
      </c>
      <c r="J15" s="25" t="str">
        <v>P</v>
      </c>
      <c r="K15" s="25" t="str">
        <v>P</v>
      </c>
      <c r="L15" s="25" t="str">
        <v>P</v>
      </c>
      <c r="M15" s="25" t="str">
        <v>P</v>
      </c>
      <c r="N15" s="25" t="str">
        <v>P</v>
      </c>
      <c r="O15" s="43" t="str">
        <v/>
      </c>
      <c r="P15" s="43" t="str">
        <v/>
      </c>
      <c r="Q15" s="25" t="str">
        <v>P</v>
      </c>
      <c r="R15" s="25" t="str">
        <v>P</v>
      </c>
      <c r="S15" s="25" t="str">
        <v>P</v>
      </c>
      <c r="T15" s="25" t="str">
        <v>P</v>
      </c>
      <c r="U15" s="25" t="str">
        <v>P</v>
      </c>
      <c r="V15" s="43" t="str">
        <v/>
      </c>
      <c r="W15" s="43" t="str">
        <v/>
      </c>
      <c r="X15" s="25" t="str">
        <v>P</v>
      </c>
      <c r="Y15" s="25" t="str">
        <v>P</v>
      </c>
      <c r="Z15" s="25" t="str">
        <v>P-L</v>
      </c>
      <c r="AA15" s="25" t="str">
        <v>P</v>
      </c>
      <c r="AB15" s="25" t="str">
        <v>P</v>
      </c>
      <c r="AC15" s="43" t="str">
        <v/>
      </c>
      <c r="AD15" s="43" t="str">
        <v/>
      </c>
      <c r="AE15" s="25" t="str">
        <v>P</v>
      </c>
      <c r="AF15" s="25" t="str">
        <v>P</v>
      </c>
      <c r="AG15" s="25" t="str">
        <v>P</v>
      </c>
      <c r="AH15" s="25" t="str">
        <v>P</v>
      </c>
      <c r="AI15" s="25" t="str">
        <v>P</v>
      </c>
      <c r="AJ15" s="43" t="str">
        <v/>
      </c>
    </row>
    <row r="16">
      <c r="A16" s="11" t="str">
        <v>FICTICIO-011</v>
      </c>
      <c r="B16" s="11" t="str">
        <v>SIM-011</v>
      </c>
      <c r="C16" s="12" t="str">
        <v>PERSONA SIMULADA 11</v>
      </c>
      <c r="D16" s="12" t="str">
        <v>L-V 08:30-17:30</v>
      </c>
      <c r="E16" s="11" t="str">
        <v>CC-ADM — Administración</v>
      </c>
      <c r="F16" s="42" t="str">
        <v>P</v>
      </c>
      <c r="G16" s="13" t="str">
        <v>P</v>
      </c>
      <c r="H16" s="43" t="str">
        <v/>
      </c>
      <c r="I16" s="43" t="str">
        <v/>
      </c>
      <c r="J16" s="13" t="str">
        <v>P</v>
      </c>
      <c r="K16" s="13" t="str">
        <v>P</v>
      </c>
      <c r="L16" s="13" t="str">
        <v>P</v>
      </c>
      <c r="M16" s="13" t="str">
        <v>P</v>
      </c>
      <c r="N16" s="13" t="str">
        <v>P</v>
      </c>
      <c r="O16" s="43" t="str">
        <v/>
      </c>
      <c r="P16" s="43" t="str">
        <v/>
      </c>
      <c r="Q16" s="13" t="str">
        <v>P</v>
      </c>
      <c r="R16" s="13" t="str">
        <v>P</v>
      </c>
      <c r="S16" s="13" t="str">
        <v>P</v>
      </c>
      <c r="T16" s="13" t="str">
        <v>P</v>
      </c>
      <c r="U16" s="13" t="str">
        <v>P</v>
      </c>
      <c r="V16" s="43" t="str">
        <v/>
      </c>
      <c r="W16" s="43" t="str">
        <v/>
      </c>
      <c r="X16" s="13" t="str">
        <v>P</v>
      </c>
      <c r="Y16" s="13" t="str">
        <v>P</v>
      </c>
      <c r="Z16" s="13" t="str">
        <v>P</v>
      </c>
      <c r="AA16" s="13" t="str">
        <v>P-M</v>
      </c>
      <c r="AB16" s="13" t="str">
        <v>P</v>
      </c>
      <c r="AC16" s="43" t="str">
        <v/>
      </c>
      <c r="AD16" s="43" t="str">
        <v/>
      </c>
      <c r="AE16" s="13" t="str">
        <v>P</v>
      </c>
      <c r="AF16" s="13" t="str">
        <v>P</v>
      </c>
      <c r="AG16" s="13" t="str">
        <v>P</v>
      </c>
      <c r="AH16" s="13" t="str">
        <v>P</v>
      </c>
      <c r="AI16" s="13" t="str">
        <v>P</v>
      </c>
      <c r="AJ16" s="43" t="str">
        <v/>
      </c>
    </row>
    <row r="17">
      <c r="A17" s="23" t="str">
        <v>FICTICIO-012</v>
      </c>
      <c r="B17" s="23" t="str">
        <v>SIM-012</v>
      </c>
      <c r="C17" s="24" t="str">
        <v>PERSONA SIMULADA 12</v>
      </c>
      <c r="D17" s="24" t="str">
        <v>L-V 08:00-17:00</v>
      </c>
      <c r="E17" s="23" t="str">
        <v>CC-INST — Instalaciones</v>
      </c>
      <c r="F17" s="42" t="str">
        <v>P</v>
      </c>
      <c r="G17" s="25" t="str">
        <v>P</v>
      </c>
      <c r="H17" s="43" t="str">
        <v/>
      </c>
      <c r="I17" s="43" t="str">
        <v/>
      </c>
      <c r="J17" s="25" t="str">
        <v>P</v>
      </c>
      <c r="K17" s="25" t="str">
        <v>P</v>
      </c>
      <c r="L17" s="25" t="str">
        <v>P</v>
      </c>
      <c r="M17" s="25" t="str">
        <v>P</v>
      </c>
      <c r="N17" s="25" t="str">
        <v>P</v>
      </c>
      <c r="O17" s="43" t="str">
        <v/>
      </c>
      <c r="P17" s="43" t="str">
        <v/>
      </c>
      <c r="Q17" s="25" t="str">
        <v>P</v>
      </c>
      <c r="R17" s="25" t="str">
        <v>P</v>
      </c>
      <c r="S17" s="25" t="str">
        <v>P</v>
      </c>
      <c r="T17" s="25" t="str">
        <v>P</v>
      </c>
      <c r="U17" s="25" t="str">
        <v>P</v>
      </c>
      <c r="V17" s="43" t="str">
        <v/>
      </c>
      <c r="W17" s="43" t="str">
        <v/>
      </c>
      <c r="X17" s="25" t="str">
        <v>P</v>
      </c>
      <c r="Y17" s="25" t="str">
        <v>P</v>
      </c>
      <c r="Z17" s="25" t="str">
        <v>P</v>
      </c>
      <c r="AA17" s="25" t="str">
        <v>P</v>
      </c>
      <c r="AB17" s="25" t="str">
        <v>L-M</v>
      </c>
      <c r="AC17" s="43" t="str">
        <v/>
      </c>
      <c r="AD17" s="43" t="str">
        <v/>
      </c>
      <c r="AE17" s="25" t="str">
        <v>P</v>
      </c>
      <c r="AF17" s="25" t="str">
        <v>P</v>
      </c>
      <c r="AG17" s="25" t="str">
        <v>P</v>
      </c>
      <c r="AH17" s="25" t="str">
        <v>P</v>
      </c>
      <c r="AI17" s="25" t="str">
        <v>P</v>
      </c>
      <c r="AJ17" s="43" t="str">
        <v/>
      </c>
    </row>
    <row r="18">
      <c r="A18" s="11" t="str">
        <v>FICTICIO-013</v>
      </c>
      <c r="B18" s="11" t="str">
        <v>SIM-013</v>
      </c>
      <c r="C18" s="12" t="str">
        <v>PERSONA SIMULADA 13</v>
      </c>
      <c r="D18" s="12" t="str">
        <v>L-V 08:00-17:00</v>
      </c>
      <c r="E18" s="11" t="str">
        <v>CC-PROD — Producción</v>
      </c>
      <c r="F18" s="42" t="str">
        <v>P</v>
      </c>
      <c r="G18" s="13" t="str">
        <v>P</v>
      </c>
      <c r="H18" s="43" t="str">
        <v/>
      </c>
      <c r="I18" s="43" t="str">
        <v/>
      </c>
      <c r="J18" s="13" t="str">
        <v>P</v>
      </c>
      <c r="K18" s="13" t="str">
        <v>P</v>
      </c>
      <c r="L18" s="13" t="str">
        <v>P</v>
      </c>
      <c r="M18" s="13" t="str">
        <v>P</v>
      </c>
      <c r="N18" s="13" t="str">
        <v>P</v>
      </c>
      <c r="O18" s="43" t="str">
        <v/>
      </c>
      <c r="P18" s="43" t="str">
        <v/>
      </c>
      <c r="Q18" s="13" t="str">
        <v>P</v>
      </c>
      <c r="R18" s="13" t="str">
        <v>P</v>
      </c>
      <c r="S18" s="13" t="str">
        <v>P</v>
      </c>
      <c r="T18" s="13" t="str">
        <v>P</v>
      </c>
      <c r="U18" s="13" t="str">
        <v>P</v>
      </c>
      <c r="V18" s="43" t="str">
        <v/>
      </c>
      <c r="W18" s="43" t="str">
        <v/>
      </c>
      <c r="X18" s="13" t="str">
        <v>P</v>
      </c>
      <c r="Y18" s="13" t="str">
        <v>P</v>
      </c>
      <c r="Z18" s="13" t="str">
        <v>P</v>
      </c>
      <c r="AA18" s="13" t="str">
        <v>P</v>
      </c>
      <c r="AB18" s="13" t="str">
        <v>P</v>
      </c>
      <c r="AC18" s="43" t="str">
        <v/>
      </c>
      <c r="AD18" s="43" t="str">
        <v/>
      </c>
      <c r="AE18" s="13" t="str">
        <v>P</v>
      </c>
      <c r="AF18" s="13" t="str">
        <v>P</v>
      </c>
      <c r="AG18" s="13" t="str">
        <v>P</v>
      </c>
      <c r="AH18" s="13" t="str">
        <v>P</v>
      </c>
      <c r="AI18" s="13" t="str">
        <v>P</v>
      </c>
      <c r="AJ18" s="43" t="str">
        <v/>
      </c>
    </row>
    <row r="19">
      <c r="A19" s="23" t="str">
        <v>FICTICIO-014</v>
      </c>
      <c r="B19" s="23" t="str">
        <v>SIM-014</v>
      </c>
      <c r="C19" s="24" t="str">
        <v>PERSONA SIMULADA 14</v>
      </c>
      <c r="D19" s="24" t="str">
        <v>L-V 08:30-17:30</v>
      </c>
      <c r="E19" s="23" t="str">
        <v>CC-ADM — Administración</v>
      </c>
      <c r="F19" s="42" t="str">
        <v>P</v>
      </c>
      <c r="G19" s="25" t="str">
        <v>P</v>
      </c>
      <c r="H19" s="43" t="str">
        <v/>
      </c>
      <c r="I19" s="43" t="str">
        <v/>
      </c>
      <c r="J19" s="25" t="str">
        <v>P</v>
      </c>
      <c r="K19" s="25" t="str">
        <v>P</v>
      </c>
      <c r="L19" s="25" t="str">
        <v>P</v>
      </c>
      <c r="M19" s="25" t="str">
        <v>P</v>
      </c>
      <c r="N19" s="25" t="str">
        <v>P</v>
      </c>
      <c r="O19" s="43" t="str">
        <v/>
      </c>
      <c r="P19" s="43" t="str">
        <v/>
      </c>
      <c r="Q19" s="25" t="str">
        <v>P</v>
      </c>
      <c r="R19" s="25" t="str">
        <v>P</v>
      </c>
      <c r="S19" s="25" t="str">
        <v>P</v>
      </c>
      <c r="T19" s="25" t="str">
        <v>P</v>
      </c>
      <c r="U19" s="25" t="str">
        <v>P</v>
      </c>
      <c r="V19" s="43" t="str">
        <v/>
      </c>
      <c r="W19" s="43" t="str">
        <v/>
      </c>
      <c r="X19" s="25" t="str">
        <v>P</v>
      </c>
      <c r="Y19" s="25" t="str">
        <v>P</v>
      </c>
      <c r="Z19" s="25" t="str">
        <v>P</v>
      </c>
      <c r="AA19" s="25" t="str">
        <v>P</v>
      </c>
      <c r="AB19" s="25" t="str">
        <v>P</v>
      </c>
      <c r="AC19" s="43" t="str">
        <v/>
      </c>
      <c r="AD19" s="43" t="str">
        <v/>
      </c>
      <c r="AE19" s="25" t="str">
        <v>P</v>
      </c>
      <c r="AF19" s="43" t="str">
        <v>?</v>
      </c>
      <c r="AG19" s="25" t="str">
        <v>P</v>
      </c>
      <c r="AH19" s="25" t="str">
        <v>P</v>
      </c>
      <c r="AI19" s="25" t="str">
        <v>P</v>
      </c>
      <c r="AJ19" s="43" t="str">
        <v/>
      </c>
    </row>
    <row r="20">
      <c r="A20" s="11" t="str">
        <v>FICTICIO-015</v>
      </c>
      <c r="B20" s="11" t="str">
        <v>SIM-015</v>
      </c>
      <c r="C20" s="12" t="str">
        <v>PERSONA SIMULADA 15</v>
      </c>
      <c r="D20" s="12" t="str">
        <v>L-V 08:00-17:00</v>
      </c>
      <c r="E20" s="11" t="str">
        <v>CC-INST — Instalaciones</v>
      </c>
      <c r="F20" s="42" t="str">
        <v>P</v>
      </c>
      <c r="G20" s="13" t="str">
        <v>P</v>
      </c>
      <c r="H20" s="43" t="str">
        <v/>
      </c>
      <c r="I20" s="43" t="str">
        <v/>
      </c>
      <c r="J20" s="13" t="str">
        <v>P</v>
      </c>
      <c r="K20" s="13" t="str">
        <v>P</v>
      </c>
      <c r="L20" s="13" t="str">
        <v>P</v>
      </c>
      <c r="M20" s="13" t="str">
        <v>P</v>
      </c>
      <c r="N20" s="13" t="str">
        <v>P</v>
      </c>
      <c r="O20" s="43" t="str">
        <v/>
      </c>
      <c r="P20" s="43" t="str">
        <v/>
      </c>
      <c r="Q20" s="13" t="str">
        <v>P</v>
      </c>
      <c r="R20" s="13" t="str">
        <v>P</v>
      </c>
      <c r="S20" s="13" t="str">
        <v>P</v>
      </c>
      <c r="T20" s="13" t="str">
        <v>P</v>
      </c>
      <c r="U20" s="13" t="str">
        <v>P</v>
      </c>
      <c r="V20" s="43" t="str">
        <v/>
      </c>
      <c r="W20" s="43" t="str">
        <v/>
      </c>
      <c r="X20" s="13" t="str">
        <v>P</v>
      </c>
      <c r="Y20" s="13" t="str">
        <v>P</v>
      </c>
      <c r="Z20" s="13" t="str">
        <v>P</v>
      </c>
      <c r="AA20" s="13" t="str">
        <v>P</v>
      </c>
      <c r="AB20" s="13" t="str">
        <v>P</v>
      </c>
      <c r="AC20" s="43" t="str">
        <v/>
      </c>
      <c r="AD20" s="43" t="str">
        <v/>
      </c>
      <c r="AE20" s="13" t="str">
        <v>P</v>
      </c>
      <c r="AF20" s="13" t="str">
        <v>P</v>
      </c>
      <c r="AG20" s="13" t="str">
        <v>P</v>
      </c>
      <c r="AH20" s="13" t="str">
        <v>P</v>
      </c>
      <c r="AI20" s="13" t="str">
        <v>P</v>
      </c>
      <c r="AJ20" s="43" t="str">
        <v/>
      </c>
    </row>
    <row r="21">
      <c r="A21" s="23" t="str">
        <v>FICTICIO-016</v>
      </c>
      <c r="B21" s="23" t="str">
        <v>SIM-016</v>
      </c>
      <c r="C21" s="24" t="str">
        <v>PERSONA SIMULADA 16</v>
      </c>
      <c r="D21" s="24" t="str">
        <v>L-V 08:00-17:00</v>
      </c>
      <c r="E21" s="23" t="str">
        <v>CC-PROD — Producción</v>
      </c>
      <c r="F21" s="42" t="str">
        <v>P</v>
      </c>
      <c r="G21" s="25" t="str">
        <v>P</v>
      </c>
      <c r="H21" s="43" t="str">
        <v/>
      </c>
      <c r="I21" s="43" t="str">
        <v/>
      </c>
      <c r="J21" s="25" t="str">
        <v>P</v>
      </c>
      <c r="K21" s="25" t="str">
        <v>P</v>
      </c>
      <c r="L21" s="25" t="str">
        <v>P</v>
      </c>
      <c r="M21" s="25" t="str">
        <v>P</v>
      </c>
      <c r="N21" s="25" t="str">
        <v>P</v>
      </c>
      <c r="O21" s="43" t="str">
        <v/>
      </c>
      <c r="P21" s="43" t="str">
        <v/>
      </c>
      <c r="Q21" s="25" t="str">
        <v>P</v>
      </c>
      <c r="R21" s="25" t="str">
        <v>P</v>
      </c>
      <c r="S21" s="25" t="str">
        <v>P</v>
      </c>
      <c r="T21" s="25" t="str">
        <v>P</v>
      </c>
      <c r="U21" s="25" t="str">
        <v>P</v>
      </c>
      <c r="V21" s="43" t="str">
        <v/>
      </c>
      <c r="W21" s="43" t="str">
        <v/>
      </c>
      <c r="X21" s="25" t="str">
        <v>P</v>
      </c>
      <c r="Y21" s="25" t="str">
        <v>P</v>
      </c>
      <c r="Z21" s="25" t="str">
        <v>P</v>
      </c>
      <c r="AA21" s="25" t="str">
        <v>P</v>
      </c>
      <c r="AB21" s="25" t="str">
        <v>P</v>
      </c>
      <c r="AC21" s="43" t="str">
        <v/>
      </c>
      <c r="AD21" s="43" t="str">
        <v/>
      </c>
      <c r="AE21" s="25" t="str">
        <v>P</v>
      </c>
      <c r="AF21" s="25" t="str">
        <v>P</v>
      </c>
      <c r="AG21" s="25" t="str">
        <v>P</v>
      </c>
      <c r="AH21" s="25" t="str">
        <v>P</v>
      </c>
      <c r="AI21" s="25" t="str">
        <v>P</v>
      </c>
      <c r="AJ21" s="43" t="str">
        <v/>
      </c>
    </row>
    <row r="22">
      <c r="A22" s="11" t="str">
        <v>FICTICIO-017</v>
      </c>
      <c r="B22" s="11" t="str">
        <v>SIM-017</v>
      </c>
      <c r="C22" s="12" t="str">
        <v>PERSONA SIMULADA 17</v>
      </c>
      <c r="D22" s="12" t="str">
        <v>L-V 08:30-17:30</v>
      </c>
      <c r="E22" s="11" t="str">
        <v>CC-ADM — Administración</v>
      </c>
      <c r="F22" s="42" t="str">
        <v>P</v>
      </c>
      <c r="G22" s="13" t="str">
        <v>P</v>
      </c>
      <c r="H22" s="43" t="str">
        <v/>
      </c>
      <c r="I22" s="43" t="str">
        <v/>
      </c>
      <c r="J22" s="13" t="str">
        <v>P</v>
      </c>
      <c r="K22" s="13" t="str">
        <v>P</v>
      </c>
      <c r="L22" s="13" t="str">
        <v>P</v>
      </c>
      <c r="M22" s="13" t="str">
        <v>P</v>
      </c>
      <c r="N22" s="13" t="str">
        <v>P</v>
      </c>
      <c r="O22" s="43" t="str">
        <v/>
      </c>
      <c r="P22" s="43" t="str">
        <v/>
      </c>
      <c r="Q22" s="13" t="str">
        <v>P</v>
      </c>
      <c r="R22" s="13" t="str">
        <v>P</v>
      </c>
      <c r="S22" s="13" t="str">
        <v>P</v>
      </c>
      <c r="T22" s="13" t="str">
        <v>P</v>
      </c>
      <c r="U22" s="13" t="str">
        <v>P</v>
      </c>
      <c r="V22" s="43" t="str">
        <v/>
      </c>
      <c r="W22" s="43" t="str">
        <v/>
      </c>
      <c r="X22" s="13" t="str">
        <v>P</v>
      </c>
      <c r="Y22" s="13" t="str">
        <v>P</v>
      </c>
      <c r="Z22" s="13" t="str">
        <v>P</v>
      </c>
      <c r="AA22" s="13" t="str">
        <v>P</v>
      </c>
      <c r="AB22" s="13" t="str">
        <v>P</v>
      </c>
      <c r="AC22" s="43" t="str">
        <v/>
      </c>
      <c r="AD22" s="43" t="str">
        <v/>
      </c>
      <c r="AE22" s="13" t="str">
        <v>P</v>
      </c>
      <c r="AF22" s="13" t="str">
        <v>P</v>
      </c>
      <c r="AG22" s="13" t="str">
        <v>P</v>
      </c>
      <c r="AH22" s="13" t="str">
        <v>P</v>
      </c>
      <c r="AI22" s="13" t="str">
        <v>P</v>
      </c>
      <c r="AJ22" s="43" t="str">
        <v/>
      </c>
    </row>
    <row r="23">
      <c r="A23" s="23" t="str">
        <v>FICTICIO-018</v>
      </c>
      <c r="B23" s="23" t="str">
        <v>SIM-018</v>
      </c>
      <c r="C23" s="24" t="str">
        <v>PERSONA SIMULADA 18</v>
      </c>
      <c r="D23" s="24" t="str">
        <v>L-V 08:00-17:00</v>
      </c>
      <c r="E23" s="23" t="str">
        <v>CC-INST — Instalaciones</v>
      </c>
      <c r="F23" s="42" t="str">
        <v>P</v>
      </c>
      <c r="G23" s="25" t="str">
        <v>P</v>
      </c>
      <c r="H23" s="43" t="str">
        <v/>
      </c>
      <c r="I23" s="43" t="str">
        <v/>
      </c>
      <c r="J23" s="25" t="str">
        <v>P</v>
      </c>
      <c r="K23" s="25" t="str">
        <v>P</v>
      </c>
      <c r="L23" s="25" t="str">
        <v>P</v>
      </c>
      <c r="M23" s="25" t="str">
        <v>P</v>
      </c>
      <c r="N23" s="25" t="str">
        <v>P</v>
      </c>
      <c r="O23" s="43" t="str">
        <v/>
      </c>
      <c r="P23" s="43" t="str">
        <v/>
      </c>
      <c r="Q23" s="25" t="str">
        <v>P</v>
      </c>
      <c r="R23" s="25" t="str">
        <v>P</v>
      </c>
      <c r="S23" s="25" t="str">
        <v>P</v>
      </c>
      <c r="T23" s="25" t="str">
        <v>P</v>
      </c>
      <c r="U23" s="25" t="str">
        <v>P</v>
      </c>
      <c r="V23" s="43" t="str">
        <v/>
      </c>
      <c r="W23" s="43" t="str">
        <v/>
      </c>
      <c r="X23" s="25" t="str">
        <v>P</v>
      </c>
      <c r="Y23" s="25" t="str">
        <v>P</v>
      </c>
      <c r="Z23" s="25" t="str">
        <v>P</v>
      </c>
      <c r="AA23" s="25" t="str">
        <v>P</v>
      </c>
      <c r="AB23" s="25" t="str">
        <v>P</v>
      </c>
      <c r="AC23" s="43" t="str">
        <v/>
      </c>
      <c r="AD23" s="43" t="str">
        <v/>
      </c>
      <c r="AE23" s="25" t="str">
        <v>P</v>
      </c>
      <c r="AF23" s="25" t="str">
        <v>P</v>
      </c>
      <c r="AG23" s="25" t="str">
        <v>P</v>
      </c>
      <c r="AH23" s="25" t="str">
        <v>P</v>
      </c>
      <c r="AI23" s="25" t="str">
        <v>P</v>
      </c>
      <c r="AJ23" s="43" t="str">
        <v/>
      </c>
    </row>
    <row r="24">
      <c r="A24" s="11" t="str">
        <v>FICTICIO-019</v>
      </c>
      <c r="B24" s="11" t="str">
        <v>SIM-019</v>
      </c>
      <c r="C24" s="12" t="str">
        <v>PERSONA SIMULADA 19</v>
      </c>
      <c r="D24" s="12" t="str">
        <v>L-V 08:00-17:00</v>
      </c>
      <c r="E24" s="11" t="str">
        <v>CC-PROD — Producción</v>
      </c>
      <c r="F24" s="42" t="str">
        <v>P</v>
      </c>
      <c r="G24" s="13" t="str">
        <v>P</v>
      </c>
      <c r="H24" s="43" t="str">
        <v/>
      </c>
      <c r="I24" s="43" t="str">
        <v/>
      </c>
      <c r="J24" s="13" t="str">
        <v>P</v>
      </c>
      <c r="K24" s="13" t="str">
        <v>P</v>
      </c>
      <c r="L24" s="13" t="str">
        <v>P</v>
      </c>
      <c r="M24" s="13" t="str">
        <v>P</v>
      </c>
      <c r="N24" s="13" t="str">
        <v>P</v>
      </c>
      <c r="O24" s="43" t="str">
        <v/>
      </c>
      <c r="P24" s="43" t="str">
        <v/>
      </c>
      <c r="Q24" s="13" t="str">
        <v>P</v>
      </c>
      <c r="R24" s="13" t="str">
        <v>P</v>
      </c>
      <c r="S24" s="13" t="str">
        <v>P</v>
      </c>
      <c r="T24" s="13" t="str">
        <v>P</v>
      </c>
      <c r="U24" s="13" t="str">
        <v>P</v>
      </c>
      <c r="V24" s="43" t="str">
        <v/>
      </c>
      <c r="W24" s="43" t="str">
        <v/>
      </c>
      <c r="X24" s="13" t="str">
        <v>P</v>
      </c>
      <c r="Y24" s="13" t="str">
        <v>P</v>
      </c>
      <c r="Z24" s="13" t="str">
        <v>P</v>
      </c>
      <c r="AA24" s="13" t="str">
        <v>P</v>
      </c>
      <c r="AB24" s="13" t="str">
        <v>P</v>
      </c>
      <c r="AC24" s="43" t="str">
        <v/>
      </c>
      <c r="AD24" s="43" t="str">
        <v/>
      </c>
      <c r="AE24" s="13" t="str">
        <v>P</v>
      </c>
      <c r="AF24" s="13" t="str">
        <v>P</v>
      </c>
      <c r="AG24" s="13" t="str">
        <v>P</v>
      </c>
      <c r="AH24" s="13" t="str">
        <v>P</v>
      </c>
      <c r="AI24" s="13" t="str">
        <v>P</v>
      </c>
      <c r="AJ24" s="43" t="str">
        <v/>
      </c>
    </row>
    <row r="25">
      <c r="A25" s="23" t="str">
        <v>FICTICIO-020</v>
      </c>
      <c r="B25" s="23" t="str">
        <v>SIM-020</v>
      </c>
      <c r="C25" s="24" t="str">
        <v>PERSONA SIMULADA 20</v>
      </c>
      <c r="D25" s="24" t="str">
        <v>L-V 08:30-17:30</v>
      </c>
      <c r="E25" s="23" t="str">
        <v>CC-ADM — Administración</v>
      </c>
      <c r="F25" s="42" t="str">
        <v>P</v>
      </c>
      <c r="G25" s="25" t="str">
        <v>P</v>
      </c>
      <c r="H25" s="43" t="str">
        <v/>
      </c>
      <c r="I25" s="43" t="str">
        <v/>
      </c>
      <c r="J25" s="25" t="str">
        <v>P</v>
      </c>
      <c r="K25" s="25" t="str">
        <v>P</v>
      </c>
      <c r="L25" s="25" t="str">
        <v>P</v>
      </c>
      <c r="M25" s="25" t="str">
        <v>P</v>
      </c>
      <c r="N25" s="25" t="str">
        <v>P</v>
      </c>
      <c r="O25" s="43" t="str">
        <v/>
      </c>
      <c r="P25" s="43" t="str">
        <v/>
      </c>
      <c r="Q25" s="25" t="str">
        <v>P</v>
      </c>
      <c r="R25" s="25" t="str">
        <v>P</v>
      </c>
      <c r="S25" s="25" t="str">
        <v>P</v>
      </c>
      <c r="T25" s="25" t="str">
        <v>P</v>
      </c>
      <c r="U25" s="25" t="str">
        <v>P</v>
      </c>
      <c r="V25" s="43" t="str">
        <v/>
      </c>
      <c r="W25" s="43" t="str">
        <v/>
      </c>
      <c r="X25" s="25" t="str">
        <v>P</v>
      </c>
      <c r="Y25" s="25" t="str">
        <v>P</v>
      </c>
      <c r="Z25" s="25" t="str">
        <v>P</v>
      </c>
      <c r="AA25" s="25" t="str">
        <v>P</v>
      </c>
      <c r="AB25" s="25" t="str">
        <v>P</v>
      </c>
      <c r="AC25" s="43" t="str">
        <v/>
      </c>
      <c r="AD25" s="43" t="str">
        <v/>
      </c>
      <c r="AE25" s="25" t="str">
        <v>P</v>
      </c>
      <c r="AF25" s="25" t="str">
        <v>P</v>
      </c>
      <c r="AG25" s="25" t="str">
        <v>P</v>
      </c>
      <c r="AH25" s="25" t="str">
        <v>P</v>
      </c>
      <c r="AI25" s="25" t="str">
        <v>P</v>
      </c>
      <c r="AJ25" s="43" t="str">
        <v/>
      </c>
    </row>
    <row r="26">
      <c r="A26" s="11" t="str">
        <v>FICTICIO-021</v>
      </c>
      <c r="B26" s="11" t="str">
        <v>SIM-021</v>
      </c>
      <c r="C26" s="12" t="str">
        <v>PERSONA SIMULADA 21</v>
      </c>
      <c r="D26" s="12" t="str">
        <v>L-V 08:00-17:00</v>
      </c>
      <c r="E26" s="11" t="str">
        <v>CC-INST — Instalaciones</v>
      </c>
      <c r="F26" s="42" t="str">
        <v>P</v>
      </c>
      <c r="G26" s="13" t="str">
        <v>P</v>
      </c>
      <c r="H26" s="43" t="str">
        <v/>
      </c>
      <c r="I26" s="43" t="str">
        <v/>
      </c>
      <c r="J26" s="13" t="str">
        <v>P</v>
      </c>
      <c r="K26" s="13" t="str">
        <v>P</v>
      </c>
      <c r="L26" s="13" t="str">
        <v>P</v>
      </c>
      <c r="M26" s="13" t="str">
        <v>P</v>
      </c>
      <c r="N26" s="13" t="str">
        <v>P</v>
      </c>
      <c r="O26" s="43" t="str">
        <v/>
      </c>
      <c r="P26" s="43" t="str">
        <v/>
      </c>
      <c r="Q26" s="13" t="str">
        <v>P</v>
      </c>
      <c r="R26" s="13" t="str">
        <v>P</v>
      </c>
      <c r="S26" s="13" t="str">
        <v>P</v>
      </c>
      <c r="T26" s="13" t="str">
        <v>P</v>
      </c>
      <c r="U26" s="13" t="str">
        <v>P</v>
      </c>
      <c r="V26" s="43" t="str">
        <v/>
      </c>
      <c r="W26" s="43" t="str">
        <v/>
      </c>
      <c r="X26" s="13" t="str">
        <v>P</v>
      </c>
      <c r="Y26" s="13" t="str">
        <v>P</v>
      </c>
      <c r="Z26" s="13" t="str">
        <v>P</v>
      </c>
      <c r="AA26" s="13" t="str">
        <v>P</v>
      </c>
      <c r="AB26" s="13" t="str">
        <v>P</v>
      </c>
      <c r="AC26" s="43" t="str">
        <v/>
      </c>
      <c r="AD26" s="43" t="str">
        <v/>
      </c>
      <c r="AE26" s="13" t="str">
        <v>P</v>
      </c>
      <c r="AF26" s="13" t="str">
        <v>P</v>
      </c>
      <c r="AG26" s="13" t="str">
        <v>P</v>
      </c>
      <c r="AH26" s="13" t="str">
        <v>P</v>
      </c>
      <c r="AI26" s="13" t="str">
        <v>P</v>
      </c>
      <c r="AJ26" s="43" t="str">
        <v/>
      </c>
    </row>
    <row r="27">
      <c r="A27" s="23" t="str">
        <v>FICTICIO-022</v>
      </c>
      <c r="B27" s="23" t="str">
        <v>SIM-022</v>
      </c>
      <c r="C27" s="24" t="str">
        <v>PERSONA SIMULADA 22</v>
      </c>
      <c r="D27" s="24" t="str">
        <v>L-V 08:00-17:00</v>
      </c>
      <c r="E27" s="23" t="str">
        <v>CC-PROD — Producción</v>
      </c>
      <c r="F27" s="42" t="str">
        <v>P</v>
      </c>
      <c r="G27" s="25" t="str">
        <v>P</v>
      </c>
      <c r="H27" s="43" t="str">
        <v/>
      </c>
      <c r="I27" s="43" t="str">
        <v/>
      </c>
      <c r="J27" s="25" t="str">
        <v>P</v>
      </c>
      <c r="K27" s="25" t="str">
        <v>P</v>
      </c>
      <c r="L27" s="25" t="str">
        <v>P</v>
      </c>
      <c r="M27" s="25" t="str">
        <v>P</v>
      </c>
      <c r="N27" s="25" t="str">
        <v>P</v>
      </c>
      <c r="O27" s="43" t="str">
        <v/>
      </c>
      <c r="P27" s="43" t="str">
        <v/>
      </c>
      <c r="Q27" s="25" t="str">
        <v>P</v>
      </c>
      <c r="R27" s="25" t="str">
        <v>P</v>
      </c>
      <c r="S27" s="25" t="str">
        <v>P</v>
      </c>
      <c r="T27" s="25" t="str">
        <v>P</v>
      </c>
      <c r="U27" s="25" t="str">
        <v>P</v>
      </c>
      <c r="V27" s="43" t="str">
        <v/>
      </c>
      <c r="W27" s="43" t="str">
        <v/>
      </c>
      <c r="X27" s="25" t="str">
        <v>P</v>
      </c>
      <c r="Y27" s="25" t="str">
        <v>P</v>
      </c>
      <c r="Z27" s="25" t="str">
        <v>P</v>
      </c>
      <c r="AA27" s="25" t="str">
        <v>P</v>
      </c>
      <c r="AB27" s="25" t="str">
        <v>P</v>
      </c>
      <c r="AC27" s="43" t="str">
        <v/>
      </c>
      <c r="AD27" s="43" t="str">
        <v/>
      </c>
      <c r="AE27" s="25" t="str">
        <v>P</v>
      </c>
      <c r="AF27" s="25" t="str">
        <v>P</v>
      </c>
      <c r="AG27" s="25" t="str">
        <v>P</v>
      </c>
      <c r="AH27" s="25" t="str">
        <v>P</v>
      </c>
      <c r="AI27" s="25" t="str">
        <v>P</v>
      </c>
      <c r="AJ27" s="43" t="str">
        <v/>
      </c>
    </row>
    <row r="28">
      <c r="A28" s="11" t="str">
        <v>FICTICIO-023</v>
      </c>
      <c r="B28" s="11" t="str">
        <v>SIM-023</v>
      </c>
      <c r="C28" s="12" t="str">
        <v>PERSONA SIMULADA 23</v>
      </c>
      <c r="D28" s="12" t="str">
        <v>L-V 08:30-17:30</v>
      </c>
      <c r="E28" s="11" t="str">
        <v>CC-ADM — Administración</v>
      </c>
      <c r="F28" s="42" t="str">
        <v>P</v>
      </c>
      <c r="G28" s="13" t="str">
        <v>P</v>
      </c>
      <c r="H28" s="43" t="str">
        <v/>
      </c>
      <c r="I28" s="43" t="str">
        <v/>
      </c>
      <c r="J28" s="13" t="str">
        <v>P</v>
      </c>
      <c r="K28" s="13" t="str">
        <v>P</v>
      </c>
      <c r="L28" s="13" t="str">
        <v>P</v>
      </c>
      <c r="M28" s="13" t="str">
        <v>P</v>
      </c>
      <c r="N28" s="13" t="str">
        <v>P</v>
      </c>
      <c r="O28" s="43" t="str">
        <v/>
      </c>
      <c r="P28" s="43" t="str">
        <v/>
      </c>
      <c r="Q28" s="13" t="str">
        <v>P</v>
      </c>
      <c r="R28" s="13" t="str">
        <v>P</v>
      </c>
      <c r="S28" s="13" t="str">
        <v>P</v>
      </c>
      <c r="T28" s="13" t="str">
        <v>P</v>
      </c>
      <c r="U28" s="13" t="str">
        <v>P</v>
      </c>
      <c r="V28" s="43" t="str">
        <v/>
      </c>
      <c r="W28" s="43" t="str">
        <v/>
      </c>
      <c r="X28" s="13" t="str">
        <v>P</v>
      </c>
      <c r="Y28" s="13" t="str">
        <v>P</v>
      </c>
      <c r="Z28" s="13" t="str">
        <v>P</v>
      </c>
      <c r="AA28" s="13" t="str">
        <v>P</v>
      </c>
      <c r="AB28" s="13" t="str">
        <v>P</v>
      </c>
      <c r="AC28" s="43" t="str">
        <v/>
      </c>
      <c r="AD28" s="43" t="str">
        <v/>
      </c>
      <c r="AE28" s="13" t="str">
        <v>P</v>
      </c>
      <c r="AF28" s="13" t="str">
        <v>P</v>
      </c>
      <c r="AG28" s="13" t="str">
        <v>P</v>
      </c>
      <c r="AH28" s="13" t="str">
        <v>P</v>
      </c>
      <c r="AI28" s="13" t="str">
        <v>P</v>
      </c>
      <c r="AJ28" s="43" t="str">
        <v/>
      </c>
    </row>
    <row r="29">
      <c r="A29" s="23" t="str">
        <v>FICTICIO-024</v>
      </c>
      <c r="B29" s="23" t="str">
        <v>SIM-024</v>
      </c>
      <c r="C29" s="24" t="str">
        <v>PERSONA SIMULADA 24</v>
      </c>
      <c r="D29" s="24" t="str">
        <v>L-V 08:00-17:00</v>
      </c>
      <c r="E29" s="23" t="str">
        <v>CC-INST — Instalaciones</v>
      </c>
      <c r="F29" s="42" t="str">
        <v>P</v>
      </c>
      <c r="G29" s="25" t="str">
        <v>P</v>
      </c>
      <c r="H29" s="43" t="str">
        <v/>
      </c>
      <c r="I29" s="43" t="str">
        <v/>
      </c>
      <c r="J29" s="25" t="str">
        <v>P</v>
      </c>
      <c r="K29" s="25" t="str">
        <v>P</v>
      </c>
      <c r="L29" s="25" t="str">
        <v>P</v>
      </c>
      <c r="M29" s="25" t="str">
        <v>P</v>
      </c>
      <c r="N29" s="25" t="str">
        <v>P</v>
      </c>
      <c r="O29" s="43" t="str">
        <v/>
      </c>
      <c r="P29" s="43" t="str">
        <v/>
      </c>
      <c r="Q29" s="25" t="str">
        <v>P</v>
      </c>
      <c r="R29" s="25" t="str">
        <v>P</v>
      </c>
      <c r="S29" s="25" t="str">
        <v>P</v>
      </c>
      <c r="T29" s="25" t="str">
        <v>P</v>
      </c>
      <c r="U29" s="25" t="str">
        <v>P</v>
      </c>
      <c r="V29" s="43" t="str">
        <v/>
      </c>
      <c r="W29" s="43" t="str">
        <v/>
      </c>
      <c r="X29" s="25" t="str">
        <v>P</v>
      </c>
      <c r="Y29" s="25" t="str">
        <v>P</v>
      </c>
      <c r="Z29" s="25" t="str">
        <v>P</v>
      </c>
      <c r="AA29" s="25" t="str">
        <v>P</v>
      </c>
      <c r="AB29" s="25" t="str">
        <v>P</v>
      </c>
      <c r="AC29" s="43" t="str">
        <v/>
      </c>
      <c r="AD29" s="43" t="str">
        <v/>
      </c>
      <c r="AE29" s="25" t="str">
        <v>P</v>
      </c>
      <c r="AF29" s="25" t="str">
        <v>P</v>
      </c>
      <c r="AG29" s="25" t="str">
        <v>P</v>
      </c>
      <c r="AH29" s="25" t="str">
        <v>P</v>
      </c>
      <c r="AI29" s="25" t="str">
        <v>P</v>
      </c>
      <c r="AJ29" s="43" t="str">
        <v/>
      </c>
    </row>
    <row r="30">
      <c r="A30" s="11" t="str">
        <v>FICTICIO-025</v>
      </c>
      <c r="B30" s="11" t="str">
        <v>SIM-025</v>
      </c>
      <c r="C30" s="12" t="str">
        <v>PERSONA SIMULADA 25</v>
      </c>
      <c r="D30" s="12" t="str">
        <v>L-V 08:00-17:00</v>
      </c>
      <c r="E30" s="11" t="str">
        <v>CC-PROD — Producción</v>
      </c>
      <c r="F30" s="42" t="str">
        <v>P</v>
      </c>
      <c r="G30" s="13" t="str">
        <v>P</v>
      </c>
      <c r="H30" s="43" t="str">
        <v/>
      </c>
      <c r="I30" s="43" t="str">
        <v/>
      </c>
      <c r="J30" s="13" t="str">
        <v>P</v>
      </c>
      <c r="K30" s="13" t="str">
        <v>P</v>
      </c>
      <c r="L30" s="13" t="str">
        <v>P</v>
      </c>
      <c r="M30" s="13" t="str">
        <v>P</v>
      </c>
      <c r="N30" s="13" t="str">
        <v>P</v>
      </c>
      <c r="O30" s="43" t="str">
        <v/>
      </c>
      <c r="P30" s="43" t="str">
        <v/>
      </c>
      <c r="Q30" s="13" t="str">
        <v>P</v>
      </c>
      <c r="R30" s="13" t="str">
        <v>P</v>
      </c>
      <c r="S30" s="13" t="str">
        <v>P</v>
      </c>
      <c r="T30" s="13" t="str">
        <v>P</v>
      </c>
      <c r="U30" s="13" t="str">
        <v>P</v>
      </c>
      <c r="V30" s="43" t="str">
        <v/>
      </c>
      <c r="W30" s="43" t="str">
        <v/>
      </c>
      <c r="X30" s="13" t="str">
        <v>P</v>
      </c>
      <c r="Y30" s="13" t="str">
        <v>P</v>
      </c>
      <c r="Z30" s="13" t="str">
        <v>P</v>
      </c>
      <c r="AA30" s="13" t="str">
        <v>P</v>
      </c>
      <c r="AB30" s="13" t="str">
        <v>P</v>
      </c>
      <c r="AC30" s="43" t="str">
        <v/>
      </c>
      <c r="AD30" s="43" t="str">
        <v/>
      </c>
      <c r="AE30" s="13" t="str">
        <v>P</v>
      </c>
      <c r="AF30" s="13" t="str">
        <v>P</v>
      </c>
      <c r="AG30" s="13" t="str">
        <v>P</v>
      </c>
      <c r="AH30" s="13" t="str">
        <v>P</v>
      </c>
      <c r="AI30" s="13" t="str">
        <v>P</v>
      </c>
      <c r="AJ30" s="43" t="str">
        <v/>
      </c>
    </row>
    <row r="31">
      <c r="A31" s="23" t="str">
        <v>FICTICIO-026</v>
      </c>
      <c r="B31" s="23" t="str">
        <v>SIM-026</v>
      </c>
      <c r="C31" s="24" t="str">
        <v>PERSONA SIMULADA 26</v>
      </c>
      <c r="D31" s="24" t="str">
        <v>L-V 08:30-17:30</v>
      </c>
      <c r="E31" s="23" t="str">
        <v>CC-ADM — Administración</v>
      </c>
      <c r="F31" s="42" t="str">
        <v>P</v>
      </c>
      <c r="G31" s="25" t="str">
        <v>P</v>
      </c>
      <c r="H31" s="43" t="str">
        <v/>
      </c>
      <c r="I31" s="43" t="str">
        <v/>
      </c>
      <c r="J31" s="25" t="str">
        <v>P</v>
      </c>
      <c r="K31" s="25" t="str">
        <v>P</v>
      </c>
      <c r="L31" s="25" t="str">
        <v>P</v>
      </c>
      <c r="M31" s="25" t="str">
        <v>P</v>
      </c>
      <c r="N31" s="25" t="str">
        <v>P</v>
      </c>
      <c r="O31" s="43" t="str">
        <v/>
      </c>
      <c r="P31" s="43" t="str">
        <v/>
      </c>
      <c r="Q31" s="25" t="str">
        <v>P</v>
      </c>
      <c r="R31" s="25" t="str">
        <v>P</v>
      </c>
      <c r="S31" s="25" t="str">
        <v>P</v>
      </c>
      <c r="T31" s="25" t="str">
        <v>P</v>
      </c>
      <c r="U31" s="25" t="str">
        <v>P</v>
      </c>
      <c r="V31" s="43" t="str">
        <v/>
      </c>
      <c r="W31" s="43" t="str">
        <v/>
      </c>
      <c r="X31" s="25" t="str">
        <v>P</v>
      </c>
      <c r="Y31" s="25" t="str">
        <v>P</v>
      </c>
      <c r="Z31" s="25" t="str">
        <v>P</v>
      </c>
      <c r="AA31" s="25" t="str">
        <v>P</v>
      </c>
      <c r="AB31" s="25" t="str">
        <v>P</v>
      </c>
      <c r="AC31" s="43" t="str">
        <v/>
      </c>
      <c r="AD31" s="43" t="str">
        <v/>
      </c>
      <c r="AE31" s="25" t="str">
        <v>P</v>
      </c>
      <c r="AF31" s="25" t="str">
        <v>P</v>
      </c>
      <c r="AG31" s="25" t="str">
        <v>P</v>
      </c>
      <c r="AH31" s="25" t="str">
        <v>P</v>
      </c>
      <c r="AI31" s="25" t="str">
        <v>P</v>
      </c>
      <c r="AJ31" s="43" t="str">
        <v/>
      </c>
    </row>
    <row r="32">
      <c r="A32" s="11" t="str">
        <v>FICTICIO-027</v>
      </c>
      <c r="B32" s="11" t="str">
        <v>SIM-027</v>
      </c>
      <c r="C32" s="12" t="str">
        <v>PERSONA SIMULADA 27</v>
      </c>
      <c r="D32" s="12" t="str">
        <v>L-V 08:00-17:00</v>
      </c>
      <c r="E32" s="11" t="str">
        <v>CC-INST — Instalaciones</v>
      </c>
      <c r="F32" s="42" t="str">
        <v>P</v>
      </c>
      <c r="G32" s="13" t="str">
        <v>P</v>
      </c>
      <c r="H32" s="43" t="str">
        <v/>
      </c>
      <c r="I32" s="43" t="str">
        <v/>
      </c>
      <c r="J32" s="13" t="str">
        <v>P</v>
      </c>
      <c r="K32" s="13" t="str">
        <v>P</v>
      </c>
      <c r="L32" s="13" t="str">
        <v>P</v>
      </c>
      <c r="M32" s="13" t="str">
        <v>P</v>
      </c>
      <c r="N32" s="13" t="str">
        <v>P</v>
      </c>
      <c r="O32" s="43" t="str">
        <v/>
      </c>
      <c r="P32" s="43" t="str">
        <v/>
      </c>
      <c r="Q32" s="13" t="str">
        <v>P</v>
      </c>
      <c r="R32" s="13" t="str">
        <v>P</v>
      </c>
      <c r="S32" s="13" t="str">
        <v>P</v>
      </c>
      <c r="T32" s="13" t="str">
        <v>P</v>
      </c>
      <c r="U32" s="13" t="str">
        <v>P</v>
      </c>
      <c r="V32" s="43" t="str">
        <v/>
      </c>
      <c r="W32" s="43" t="str">
        <v/>
      </c>
      <c r="X32" s="13" t="str">
        <v>P</v>
      </c>
      <c r="Y32" s="13" t="str">
        <v>P</v>
      </c>
      <c r="Z32" s="13" t="str">
        <v>P</v>
      </c>
      <c r="AA32" s="13" t="str">
        <v>P</v>
      </c>
      <c r="AB32" s="13" t="str">
        <v>P</v>
      </c>
      <c r="AC32" s="43" t="str">
        <v/>
      </c>
      <c r="AD32" s="43" t="str">
        <v/>
      </c>
      <c r="AE32" s="13" t="str">
        <v>P</v>
      </c>
      <c r="AF32" s="13" t="str">
        <v>P</v>
      </c>
      <c r="AG32" s="13" t="str">
        <v>P</v>
      </c>
      <c r="AH32" s="13" t="str">
        <v>P</v>
      </c>
      <c r="AI32" s="13" t="str">
        <v>P</v>
      </c>
      <c r="AJ32" s="43" t="str">
        <v/>
      </c>
    </row>
    <row r="33">
      <c r="A33" s="23" t="str">
        <v>FICTICIO-028</v>
      </c>
      <c r="B33" s="23" t="str">
        <v>SIM-028</v>
      </c>
      <c r="C33" s="24" t="str">
        <v>PERSONA SIMULADA 28</v>
      </c>
      <c r="D33" s="24" t="str">
        <v>L-V 08:00-17:00</v>
      </c>
      <c r="E33" s="23" t="str">
        <v>CC-PROD — Producción</v>
      </c>
      <c r="F33" s="42" t="str">
        <v>P</v>
      </c>
      <c r="G33" s="25" t="str">
        <v>P</v>
      </c>
      <c r="H33" s="43" t="str">
        <v/>
      </c>
      <c r="I33" s="43" t="str">
        <v/>
      </c>
      <c r="J33" s="25" t="str">
        <v>P</v>
      </c>
      <c r="K33" s="25" t="str">
        <v>P</v>
      </c>
      <c r="L33" s="25" t="str">
        <v>P</v>
      </c>
      <c r="M33" s="25" t="str">
        <v>P</v>
      </c>
      <c r="N33" s="25" t="str">
        <v>P</v>
      </c>
      <c r="O33" s="43" t="str">
        <v/>
      </c>
      <c r="P33" s="43" t="str">
        <v/>
      </c>
      <c r="Q33" s="25" t="str">
        <v>P</v>
      </c>
      <c r="R33" s="25" t="str">
        <v>P</v>
      </c>
      <c r="S33" s="25" t="str">
        <v>P</v>
      </c>
      <c r="T33" s="25" t="str">
        <v>P</v>
      </c>
      <c r="U33" s="25" t="str">
        <v>P</v>
      </c>
      <c r="V33" s="43" t="str">
        <v/>
      </c>
      <c r="W33" s="43" t="str">
        <v/>
      </c>
      <c r="X33" s="25" t="str">
        <v>P</v>
      </c>
      <c r="Y33" s="25" t="str">
        <v>P</v>
      </c>
      <c r="Z33" s="25" t="str">
        <v>P</v>
      </c>
      <c r="AA33" s="25" t="str">
        <v>P</v>
      </c>
      <c r="AB33" s="25" t="str">
        <v>P</v>
      </c>
      <c r="AC33" s="43" t="str">
        <v/>
      </c>
      <c r="AD33" s="43" t="str">
        <v/>
      </c>
      <c r="AE33" s="25" t="str">
        <v>P</v>
      </c>
      <c r="AF33" s="25" t="str">
        <v>P</v>
      </c>
      <c r="AG33" s="25" t="str">
        <v>P</v>
      </c>
      <c r="AH33" s="25" t="str">
        <v>P</v>
      </c>
      <c r="AI33" s="25" t="str">
        <v>P</v>
      </c>
      <c r="AJ33" s="43" t="str">
        <v/>
      </c>
    </row>
    <row r="34">
      <c r="A34" s="11" t="str">
        <v>FICTICIO-029</v>
      </c>
      <c r="B34" s="11" t="str">
        <v>SIM-029</v>
      </c>
      <c r="C34" s="12" t="str">
        <v>PERSONA SIMULADA 29</v>
      </c>
      <c r="D34" s="12" t="str">
        <v>L-V 08:30-17:30</v>
      </c>
      <c r="E34" s="11" t="str">
        <v>CC-ADM — Administración</v>
      </c>
      <c r="F34" s="42" t="str">
        <v>P</v>
      </c>
      <c r="G34" s="13" t="str">
        <v>P</v>
      </c>
      <c r="H34" s="43" t="str">
        <v/>
      </c>
      <c r="I34" s="43" t="str">
        <v/>
      </c>
      <c r="J34" s="13" t="str">
        <v>P</v>
      </c>
      <c r="K34" s="13" t="str">
        <v>P</v>
      </c>
      <c r="L34" s="13" t="str">
        <v>P</v>
      </c>
      <c r="M34" s="13" t="str">
        <v>P</v>
      </c>
      <c r="N34" s="13" t="str">
        <v>P</v>
      </c>
      <c r="O34" s="43" t="str">
        <v/>
      </c>
      <c r="P34" s="43" t="str">
        <v/>
      </c>
      <c r="Q34" s="13" t="str">
        <v>P</v>
      </c>
      <c r="R34" s="13" t="str">
        <v>P</v>
      </c>
      <c r="S34" s="13" t="str">
        <v>P</v>
      </c>
      <c r="T34" s="13" t="str">
        <v>P</v>
      </c>
      <c r="U34" s="13" t="str">
        <v>P</v>
      </c>
      <c r="V34" s="43" t="str">
        <v/>
      </c>
      <c r="W34" s="43" t="str">
        <v/>
      </c>
      <c r="X34" s="13" t="str">
        <v>P</v>
      </c>
      <c r="Y34" s="13" t="str">
        <v>P</v>
      </c>
      <c r="Z34" s="13" t="str">
        <v>P</v>
      </c>
      <c r="AA34" s="13" t="str">
        <v>P</v>
      </c>
      <c r="AB34" s="13" t="str">
        <v>P</v>
      </c>
      <c r="AC34" s="43" t="str">
        <v/>
      </c>
      <c r="AD34" s="43" t="str">
        <v/>
      </c>
      <c r="AE34" s="13" t="str">
        <v>P</v>
      </c>
      <c r="AF34" s="13" t="str">
        <v>P</v>
      </c>
      <c r="AG34" s="13" t="str">
        <v>P</v>
      </c>
      <c r="AH34" s="13" t="str">
        <v>P</v>
      </c>
      <c r="AI34" s="13" t="str">
        <v>P</v>
      </c>
      <c r="AJ34" s="43" t="str">
        <v/>
      </c>
    </row>
    <row r="35">
      <c r="A35" s="23" t="str">
        <v>FICTICIO-030</v>
      </c>
      <c r="B35" s="23" t="str">
        <v>SIM-030</v>
      </c>
      <c r="C35" s="24" t="str">
        <v>PERSONA SIMULADA 30</v>
      </c>
      <c r="D35" s="24" t="str">
        <v>L-V 08:00-17:00</v>
      </c>
      <c r="E35" s="23" t="str">
        <v>CC-INST — Instalaciones</v>
      </c>
      <c r="F35" s="42" t="str">
        <v>P</v>
      </c>
      <c r="G35" s="25" t="str">
        <v>P</v>
      </c>
      <c r="H35" s="43" t="str">
        <v/>
      </c>
      <c r="I35" s="43" t="str">
        <v/>
      </c>
      <c r="J35" s="25" t="str">
        <v>P</v>
      </c>
      <c r="K35" s="25" t="str">
        <v>P</v>
      </c>
      <c r="L35" s="25" t="str">
        <v>P</v>
      </c>
      <c r="M35" s="25" t="str">
        <v>P</v>
      </c>
      <c r="N35" s="25" t="str">
        <v>P</v>
      </c>
      <c r="O35" s="43" t="str">
        <v/>
      </c>
      <c r="P35" s="43" t="str">
        <v/>
      </c>
      <c r="Q35" s="25" t="str">
        <v>P</v>
      </c>
      <c r="R35" s="25" t="str">
        <v>P</v>
      </c>
      <c r="S35" s="25" t="str">
        <v>P</v>
      </c>
      <c r="T35" s="25" t="str">
        <v>P</v>
      </c>
      <c r="U35" s="25" t="str">
        <v>P</v>
      </c>
      <c r="V35" s="43" t="str">
        <v/>
      </c>
      <c r="W35" s="43" t="str">
        <v/>
      </c>
      <c r="X35" s="25" t="str">
        <v>P</v>
      </c>
      <c r="Y35" s="25" t="str">
        <v>P</v>
      </c>
      <c r="Z35" s="25" t="str">
        <v>P</v>
      </c>
      <c r="AA35" s="25" t="str">
        <v>P</v>
      </c>
      <c r="AB35" s="25" t="str">
        <v>P</v>
      </c>
      <c r="AC35" s="43" t="str">
        <v/>
      </c>
      <c r="AD35" s="43" t="str">
        <v/>
      </c>
      <c r="AE35" s="25" t="str">
        <v>P</v>
      </c>
      <c r="AF35" s="25" t="str">
        <v>P</v>
      </c>
      <c r="AG35" s="25" t="str">
        <v>P</v>
      </c>
      <c r="AH35" s="25" t="str">
        <v>P</v>
      </c>
      <c r="AI35" s="25" t="str">
        <v>P</v>
      </c>
      <c r="AJ35" s="43" t="str">
        <v/>
      </c>
    </row>
    <row r="36">
      <c r="A36" s="11" t="str">
        <v>FICTICIO-031</v>
      </c>
      <c r="B36" s="11" t="str">
        <v>SIM-031</v>
      </c>
      <c r="C36" s="12" t="str">
        <v>PERSONA SIMULADA 31</v>
      </c>
      <c r="D36" s="12" t="str">
        <v>L-V 08:00-17:00</v>
      </c>
      <c r="E36" s="11" t="str">
        <v>CC-PROD — Producción</v>
      </c>
      <c r="F36" s="42" t="str">
        <v>P</v>
      </c>
      <c r="G36" s="13" t="str">
        <v>P</v>
      </c>
      <c r="H36" s="43" t="str">
        <v/>
      </c>
      <c r="I36" s="43" t="str">
        <v/>
      </c>
      <c r="J36" s="13" t="str">
        <v>P</v>
      </c>
      <c r="K36" s="13" t="str">
        <v>P</v>
      </c>
      <c r="L36" s="13" t="str">
        <v>P</v>
      </c>
      <c r="M36" s="13" t="str">
        <v>P</v>
      </c>
      <c r="N36" s="13" t="str">
        <v>P</v>
      </c>
      <c r="O36" s="43" t="str">
        <v/>
      </c>
      <c r="P36" s="43" t="str">
        <v/>
      </c>
      <c r="Q36" s="13" t="str">
        <v>P</v>
      </c>
      <c r="R36" s="13" t="str">
        <v>P</v>
      </c>
      <c r="S36" s="13" t="str">
        <v>P</v>
      </c>
      <c r="T36" s="13" t="str">
        <v>P</v>
      </c>
      <c r="U36" s="13" t="str">
        <v>P</v>
      </c>
      <c r="V36" s="43" t="str">
        <v/>
      </c>
      <c r="W36" s="43" t="str">
        <v/>
      </c>
      <c r="X36" s="13" t="str">
        <v>P</v>
      </c>
      <c r="Y36" s="13" t="str">
        <v>P</v>
      </c>
      <c r="Z36" s="13" t="str">
        <v>P</v>
      </c>
      <c r="AA36" s="13" t="str">
        <v>P</v>
      </c>
      <c r="AB36" s="13" t="str">
        <v>P</v>
      </c>
      <c r="AC36" s="43" t="str">
        <v/>
      </c>
      <c r="AD36" s="43" t="str">
        <v/>
      </c>
      <c r="AE36" s="13" t="str">
        <v>P</v>
      </c>
      <c r="AF36" s="13" t="str">
        <v>P</v>
      </c>
      <c r="AG36" s="13" t="str">
        <v>P</v>
      </c>
      <c r="AH36" s="13" t="str">
        <v>P</v>
      </c>
      <c r="AI36" s="13" t="str">
        <v>P</v>
      </c>
      <c r="AJ36" s="43" t="str">
        <v/>
      </c>
    </row>
    <row r="37">
      <c r="A37" s="23" t="str">
        <v>FICTICIO-032</v>
      </c>
      <c r="B37" s="23" t="str">
        <v>SIM-032</v>
      </c>
      <c r="C37" s="24" t="str">
        <v>PERSONA SIMULADA 32</v>
      </c>
      <c r="D37" s="24" t="str">
        <v>L-V 08:30-17:30</v>
      </c>
      <c r="E37" s="23" t="str">
        <v>CC-ADM — Administración</v>
      </c>
      <c r="F37" s="42" t="str">
        <v>P</v>
      </c>
      <c r="G37" s="25" t="str">
        <v>P</v>
      </c>
      <c r="H37" s="43" t="str">
        <v/>
      </c>
      <c r="I37" s="43" t="str">
        <v/>
      </c>
      <c r="J37" s="25" t="str">
        <v>P</v>
      </c>
      <c r="K37" s="25" t="str">
        <v>P</v>
      </c>
      <c r="L37" s="25" t="str">
        <v>P</v>
      </c>
      <c r="M37" s="25" t="str">
        <v>P</v>
      </c>
      <c r="N37" s="25" t="str">
        <v>P</v>
      </c>
      <c r="O37" s="43" t="str">
        <v/>
      </c>
      <c r="P37" s="43" t="str">
        <v/>
      </c>
      <c r="Q37" s="25" t="str">
        <v>P</v>
      </c>
      <c r="R37" s="25" t="str">
        <v>P</v>
      </c>
      <c r="S37" s="25" t="str">
        <v>P</v>
      </c>
      <c r="T37" s="25" t="str">
        <v>P</v>
      </c>
      <c r="U37" s="25" t="str">
        <v>P</v>
      </c>
      <c r="V37" s="43" t="str">
        <v/>
      </c>
      <c r="W37" s="43" t="str">
        <v/>
      </c>
      <c r="X37" s="25" t="str">
        <v>P</v>
      </c>
      <c r="Y37" s="25" t="str">
        <v>P</v>
      </c>
      <c r="Z37" s="25" t="str">
        <v>P</v>
      </c>
      <c r="AA37" s="25" t="str">
        <v>P</v>
      </c>
      <c r="AB37" s="25" t="str">
        <v>P</v>
      </c>
      <c r="AC37" s="43" t="str">
        <v/>
      </c>
      <c r="AD37" s="43" t="str">
        <v/>
      </c>
      <c r="AE37" s="25" t="str">
        <v>P</v>
      </c>
      <c r="AF37" s="25" t="str">
        <v>P</v>
      </c>
      <c r="AG37" s="25" t="str">
        <v>P</v>
      </c>
      <c r="AH37" s="25" t="str">
        <v>P</v>
      </c>
      <c r="AI37" s="25" t="str">
        <v>P</v>
      </c>
      <c r="AJ37" s="43" t="str">
        <v/>
      </c>
    </row>
    <row r="38">
      <c r="A38" s="11" t="str">
        <v>FICTICIO-033</v>
      </c>
      <c r="B38" s="11" t="str">
        <v>SIM-033</v>
      </c>
      <c r="C38" s="12" t="str">
        <v>PERSONA SIMULADA 33</v>
      </c>
      <c r="D38" s="12" t="str">
        <v>L-V 08:00-17:00</v>
      </c>
      <c r="E38" s="11" t="str">
        <v>CC-INST — Instalaciones</v>
      </c>
      <c r="F38" s="42" t="str">
        <v>P</v>
      </c>
      <c r="G38" s="13" t="str">
        <v>P</v>
      </c>
      <c r="H38" s="43" t="str">
        <v/>
      </c>
      <c r="I38" s="43" t="str">
        <v/>
      </c>
      <c r="J38" s="13" t="str">
        <v>P</v>
      </c>
      <c r="K38" s="13" t="str">
        <v>P</v>
      </c>
      <c r="L38" s="13" t="str">
        <v>P</v>
      </c>
      <c r="M38" s="13" t="str">
        <v>P</v>
      </c>
      <c r="N38" s="13" t="str">
        <v>P</v>
      </c>
      <c r="O38" s="43" t="str">
        <v/>
      </c>
      <c r="P38" s="43" t="str">
        <v/>
      </c>
      <c r="Q38" s="13" t="str">
        <v>P</v>
      </c>
      <c r="R38" s="13" t="str">
        <v>P</v>
      </c>
      <c r="S38" s="13" t="str">
        <v>P</v>
      </c>
      <c r="T38" s="13" t="str">
        <v>P</v>
      </c>
      <c r="U38" s="13" t="str">
        <v>P</v>
      </c>
      <c r="V38" s="43" t="str">
        <v/>
      </c>
      <c r="W38" s="43" t="str">
        <v/>
      </c>
      <c r="X38" s="13" t="str">
        <v>P</v>
      </c>
      <c r="Y38" s="13" t="str">
        <v>P</v>
      </c>
      <c r="Z38" s="13" t="str">
        <v>P</v>
      </c>
      <c r="AA38" s="13" t="str">
        <v>P</v>
      </c>
      <c r="AB38" s="13" t="str">
        <v>P</v>
      </c>
      <c r="AC38" s="43" t="str">
        <v/>
      </c>
      <c r="AD38" s="43" t="str">
        <v/>
      </c>
      <c r="AE38" s="13" t="str">
        <v>P</v>
      </c>
      <c r="AF38" s="13" t="str">
        <v>P</v>
      </c>
      <c r="AG38" s="13" t="str">
        <v>P</v>
      </c>
      <c r="AH38" s="13" t="str">
        <v>P</v>
      </c>
      <c r="AI38" s="13" t="str">
        <v>P</v>
      </c>
      <c r="AJ38" s="43" t="str">
        <v/>
      </c>
    </row>
    <row r="39">
      <c r="A39" s="23" t="str">
        <v>FICTICIO-034</v>
      </c>
      <c r="B39" s="23" t="str">
        <v>SIM-034</v>
      </c>
      <c r="C39" s="24" t="str">
        <v>PERSONA SIMULADA 34</v>
      </c>
      <c r="D39" s="24" t="str">
        <v>L-V 08:00-17:00</v>
      </c>
      <c r="E39" s="23" t="str">
        <v>CC-PROD — Producción</v>
      </c>
      <c r="F39" s="42" t="str">
        <v>P</v>
      </c>
      <c r="G39" s="25" t="str">
        <v>P</v>
      </c>
      <c r="H39" s="43" t="str">
        <v/>
      </c>
      <c r="I39" s="43" t="str">
        <v/>
      </c>
      <c r="J39" s="25" t="str">
        <v>P</v>
      </c>
      <c r="K39" s="25" t="str">
        <v>P</v>
      </c>
      <c r="L39" s="25" t="str">
        <v>P</v>
      </c>
      <c r="M39" s="25" t="str">
        <v>P</v>
      </c>
      <c r="N39" s="25" t="str">
        <v>P</v>
      </c>
      <c r="O39" s="43" t="str">
        <v/>
      </c>
      <c r="P39" s="43" t="str">
        <v/>
      </c>
      <c r="Q39" s="25" t="str">
        <v>P</v>
      </c>
      <c r="R39" s="25" t="str">
        <v>P</v>
      </c>
      <c r="S39" s="25" t="str">
        <v>P</v>
      </c>
      <c r="T39" s="25" t="str">
        <v>P</v>
      </c>
      <c r="U39" s="25" t="str">
        <v>P</v>
      </c>
      <c r="V39" s="43" t="str">
        <v/>
      </c>
      <c r="W39" s="43" t="str">
        <v/>
      </c>
      <c r="X39" s="25" t="str">
        <v>P</v>
      </c>
      <c r="Y39" s="25" t="str">
        <v>P</v>
      </c>
      <c r="Z39" s="25" t="str">
        <v>P</v>
      </c>
      <c r="AA39" s="25" t="str">
        <v>P</v>
      </c>
      <c r="AB39" s="25" t="str">
        <v>P</v>
      </c>
      <c r="AC39" s="43" t="str">
        <v/>
      </c>
      <c r="AD39" s="43" t="str">
        <v/>
      </c>
      <c r="AE39" s="25" t="str">
        <v>P</v>
      </c>
      <c r="AF39" s="25" t="str">
        <v>P</v>
      </c>
      <c r="AG39" s="25" t="str">
        <v>P</v>
      </c>
      <c r="AH39" s="25" t="str">
        <v>P</v>
      </c>
      <c r="AI39" s="25" t="str">
        <v>P</v>
      </c>
      <c r="AJ39" s="43" t="str">
        <v/>
      </c>
    </row>
    <row r="40">
      <c r="A40" s="11" t="str">
        <v>FICTICIO-035</v>
      </c>
      <c r="B40" s="11" t="str">
        <v>SIM-035</v>
      </c>
      <c r="C40" s="12" t="str">
        <v>PERSONA SIMULADA 35</v>
      </c>
      <c r="D40" s="12" t="str">
        <v>L-V 08:30-17:30</v>
      </c>
      <c r="E40" s="11" t="str">
        <v>CC-ADM — Administración</v>
      </c>
      <c r="F40" s="42" t="str">
        <v>P</v>
      </c>
      <c r="G40" s="13" t="str">
        <v>P</v>
      </c>
      <c r="H40" s="43" t="str">
        <v/>
      </c>
      <c r="I40" s="43" t="str">
        <v/>
      </c>
      <c r="J40" s="13" t="str">
        <v>P</v>
      </c>
      <c r="K40" s="13" t="str">
        <v>P</v>
      </c>
      <c r="L40" s="13" t="str">
        <v>P</v>
      </c>
      <c r="M40" s="13" t="str">
        <v>P</v>
      </c>
      <c r="N40" s="13" t="str">
        <v>P</v>
      </c>
      <c r="O40" s="43" t="str">
        <v/>
      </c>
      <c r="P40" s="43" t="str">
        <v/>
      </c>
      <c r="Q40" s="13" t="str">
        <v>P</v>
      </c>
      <c r="R40" s="13" t="str">
        <v>P</v>
      </c>
      <c r="S40" s="13" t="str">
        <v>P</v>
      </c>
      <c r="T40" s="13" t="str">
        <v>P</v>
      </c>
      <c r="U40" s="13" t="str">
        <v>P</v>
      </c>
      <c r="V40" s="43" t="str">
        <v/>
      </c>
      <c r="W40" s="43" t="str">
        <v/>
      </c>
      <c r="X40" s="13" t="str">
        <v>P</v>
      </c>
      <c r="Y40" s="13" t="str">
        <v>P</v>
      </c>
      <c r="Z40" s="13" t="str">
        <v>P</v>
      </c>
      <c r="AA40" s="13" t="str">
        <v>P</v>
      </c>
      <c r="AB40" s="13" t="str">
        <v>P</v>
      </c>
      <c r="AC40" s="43" t="str">
        <v/>
      </c>
      <c r="AD40" s="43" t="str">
        <v/>
      </c>
      <c r="AE40" s="13" t="str">
        <v>P</v>
      </c>
      <c r="AF40" s="13" t="str">
        <v>P</v>
      </c>
      <c r="AG40" s="13" t="str">
        <v>P</v>
      </c>
      <c r="AH40" s="13" t="str">
        <v>P</v>
      </c>
      <c r="AI40" s="13" t="str">
        <v>P</v>
      </c>
      <c r="AJ40" s="43" t="str">
        <v/>
      </c>
    </row>
    <row r="41">
      <c r="A41" s="23" t="str">
        <v>FICTICIO-036</v>
      </c>
      <c r="B41" s="23" t="str">
        <v>SIM-036</v>
      </c>
      <c r="C41" s="24" t="str">
        <v>PERSONA SIMULADA 36</v>
      </c>
      <c r="D41" s="24" t="str">
        <v>L-V 08:00-17:00</v>
      </c>
      <c r="E41" s="23" t="str">
        <v>CC-INST — Instalaciones</v>
      </c>
      <c r="F41" s="42" t="str">
        <v>P</v>
      </c>
      <c r="G41" s="25" t="str">
        <v>P</v>
      </c>
      <c r="H41" s="43" t="str">
        <v/>
      </c>
      <c r="I41" s="43" t="str">
        <v/>
      </c>
      <c r="J41" s="25" t="str">
        <v>P</v>
      </c>
      <c r="K41" s="25" t="str">
        <v>P</v>
      </c>
      <c r="L41" s="25" t="str">
        <v>P</v>
      </c>
      <c r="M41" s="25" t="str">
        <v>P</v>
      </c>
      <c r="N41" s="25" t="str">
        <v>P</v>
      </c>
      <c r="O41" s="43" t="str">
        <v/>
      </c>
      <c r="P41" s="43" t="str">
        <v/>
      </c>
      <c r="Q41" s="25" t="str">
        <v>P</v>
      </c>
      <c r="R41" s="25" t="str">
        <v>P</v>
      </c>
      <c r="S41" s="25" t="str">
        <v>P</v>
      </c>
      <c r="T41" s="25" t="str">
        <v>P</v>
      </c>
      <c r="U41" s="25" t="str">
        <v>P</v>
      </c>
      <c r="V41" s="43" t="str">
        <v/>
      </c>
      <c r="W41" s="43" t="str">
        <v/>
      </c>
      <c r="X41" s="25" t="str">
        <v>P</v>
      </c>
      <c r="Y41" s="25" t="str">
        <v>P</v>
      </c>
      <c r="Z41" s="25" t="str">
        <v>P</v>
      </c>
      <c r="AA41" s="25" t="str">
        <v>P</v>
      </c>
      <c r="AB41" s="25" t="str">
        <v>P</v>
      </c>
      <c r="AC41" s="43" t="str">
        <v/>
      </c>
      <c r="AD41" s="43" t="str">
        <v/>
      </c>
      <c r="AE41" s="25" t="str">
        <v>P</v>
      </c>
      <c r="AF41" s="25" t="str">
        <v>P</v>
      </c>
      <c r="AG41" s="25" t="str">
        <v>P</v>
      </c>
      <c r="AH41" s="25" t="str">
        <v>P</v>
      </c>
      <c r="AI41" s="25" t="str">
        <v>P</v>
      </c>
      <c r="AJ41" s="43" t="str">
        <v/>
      </c>
    </row>
    <row r="42">
      <c r="A42" s="11" t="str">
        <v>FICTICIO-037</v>
      </c>
      <c r="B42" s="11" t="str">
        <v>SIM-037</v>
      </c>
      <c r="C42" s="12" t="str">
        <v>PERSONA SIMULADA 37</v>
      </c>
      <c r="D42" s="12" t="str">
        <v>L-V 08:00-17:00</v>
      </c>
      <c r="E42" s="11" t="str">
        <v>CC-PROD — Producción</v>
      </c>
      <c r="F42" s="42" t="str">
        <v>P</v>
      </c>
      <c r="G42" s="13" t="str">
        <v>P</v>
      </c>
      <c r="H42" s="43" t="str">
        <v/>
      </c>
      <c r="I42" s="43" t="str">
        <v/>
      </c>
      <c r="J42" s="13" t="str">
        <v>P</v>
      </c>
      <c r="K42" s="13" t="str">
        <v>P</v>
      </c>
      <c r="L42" s="13" t="str">
        <v>P</v>
      </c>
      <c r="M42" s="13" t="str">
        <v>P</v>
      </c>
      <c r="N42" s="13" t="str">
        <v>P</v>
      </c>
      <c r="O42" s="43" t="str">
        <v/>
      </c>
      <c r="P42" s="43" t="str">
        <v/>
      </c>
      <c r="Q42" s="13" t="str">
        <v>P</v>
      </c>
      <c r="R42" s="13" t="str">
        <v>P</v>
      </c>
      <c r="S42" s="13" t="str">
        <v>P</v>
      </c>
      <c r="T42" s="13" t="str">
        <v>P</v>
      </c>
      <c r="U42" s="13" t="str">
        <v>P</v>
      </c>
      <c r="V42" s="43" t="str">
        <v/>
      </c>
      <c r="W42" s="43" t="str">
        <v/>
      </c>
      <c r="X42" s="13" t="str">
        <v>P</v>
      </c>
      <c r="Y42" s="13" t="str">
        <v>P</v>
      </c>
      <c r="Z42" s="13" t="str">
        <v>P</v>
      </c>
      <c r="AA42" s="13" t="str">
        <v>P</v>
      </c>
      <c r="AB42" s="13" t="str">
        <v>P</v>
      </c>
      <c r="AC42" s="43" t="str">
        <v/>
      </c>
      <c r="AD42" s="43" t="str">
        <v/>
      </c>
      <c r="AE42" s="13" t="str">
        <v>P</v>
      </c>
      <c r="AF42" s="13" t="str">
        <v>P</v>
      </c>
      <c r="AG42" s="13" t="str">
        <v>P</v>
      </c>
      <c r="AH42" s="13" t="str">
        <v>P</v>
      </c>
      <c r="AI42" s="13" t="str">
        <v>P</v>
      </c>
      <c r="AJ42" s="43" t="str">
        <v/>
      </c>
    </row>
    <row r="43">
      <c r="A43" s="23" t="str">
        <v>FICTICIO-038</v>
      </c>
      <c r="B43" s="23" t="str">
        <v>SIM-038</v>
      </c>
      <c r="C43" s="24" t="str">
        <v>PERSONA SIMULADA 38</v>
      </c>
      <c r="D43" s="24" t="str">
        <v>L-V 08:30-17:30</v>
      </c>
      <c r="E43" s="23" t="str">
        <v>CC-ADM — Administración</v>
      </c>
      <c r="F43" s="42" t="str">
        <v>P</v>
      </c>
      <c r="G43" s="25" t="str">
        <v>P</v>
      </c>
      <c r="H43" s="43" t="str">
        <v/>
      </c>
      <c r="I43" s="43" t="str">
        <v/>
      </c>
      <c r="J43" s="25" t="str">
        <v>P</v>
      </c>
      <c r="K43" s="25" t="str">
        <v>P</v>
      </c>
      <c r="L43" s="25" t="str">
        <v>P</v>
      </c>
      <c r="M43" s="25" t="str">
        <v>P</v>
      </c>
      <c r="N43" s="25" t="str">
        <v>P</v>
      </c>
      <c r="O43" s="43" t="str">
        <v/>
      </c>
      <c r="P43" s="43" t="str">
        <v/>
      </c>
      <c r="Q43" s="25" t="str">
        <v>P</v>
      </c>
      <c r="R43" s="25" t="str">
        <v>P</v>
      </c>
      <c r="S43" s="25" t="str">
        <v>P</v>
      </c>
      <c r="T43" s="25" t="str">
        <v>P</v>
      </c>
      <c r="U43" s="25" t="str">
        <v>P</v>
      </c>
      <c r="V43" s="43" t="str">
        <v/>
      </c>
      <c r="W43" s="43" t="str">
        <v/>
      </c>
      <c r="X43" s="25" t="str">
        <v>P</v>
      </c>
      <c r="Y43" s="25" t="str">
        <v>P</v>
      </c>
      <c r="Z43" s="25" t="str">
        <v>P</v>
      </c>
      <c r="AA43" s="25" t="str">
        <v>P</v>
      </c>
      <c r="AB43" s="25" t="str">
        <v>P</v>
      </c>
      <c r="AC43" s="43" t="str">
        <v/>
      </c>
      <c r="AD43" s="43" t="str">
        <v/>
      </c>
      <c r="AE43" s="25" t="str">
        <v>P</v>
      </c>
      <c r="AF43" s="25" t="str">
        <v>P</v>
      </c>
      <c r="AG43" s="25" t="str">
        <v>P</v>
      </c>
      <c r="AH43" s="25" t="str">
        <v>P</v>
      </c>
      <c r="AI43" s="25" t="str">
        <v>P</v>
      </c>
      <c r="AJ43" s="43" t="str">
        <v/>
      </c>
    </row>
    <row r="44">
      <c r="A44" s="11" t="str">
        <v>FICTICIO-039</v>
      </c>
      <c r="B44" s="11" t="str">
        <v>SIM-039</v>
      </c>
      <c r="C44" s="12" t="str">
        <v>PERSONA SIMULADA 39</v>
      </c>
      <c r="D44" s="12" t="str">
        <v>L-V 08:00-17:00</v>
      </c>
      <c r="E44" s="11" t="str">
        <v>CC-INST — Instalaciones</v>
      </c>
      <c r="F44" s="42" t="str">
        <v>P</v>
      </c>
      <c r="G44" s="13" t="str">
        <v>P</v>
      </c>
      <c r="H44" s="43" t="str">
        <v/>
      </c>
      <c r="I44" s="43" t="str">
        <v/>
      </c>
      <c r="J44" s="13" t="str">
        <v>P</v>
      </c>
      <c r="K44" s="13" t="str">
        <v>P</v>
      </c>
      <c r="L44" s="13" t="str">
        <v>P</v>
      </c>
      <c r="M44" s="13" t="str">
        <v>P</v>
      </c>
      <c r="N44" s="13" t="str">
        <v>P</v>
      </c>
      <c r="O44" s="43" t="str">
        <v/>
      </c>
      <c r="P44" s="43" t="str">
        <v/>
      </c>
      <c r="Q44" s="13" t="str">
        <v>P</v>
      </c>
      <c r="R44" s="13" t="str">
        <v>P</v>
      </c>
      <c r="S44" s="13" t="str">
        <v>P</v>
      </c>
      <c r="T44" s="13" t="str">
        <v>P</v>
      </c>
      <c r="U44" s="13" t="str">
        <v>P</v>
      </c>
      <c r="V44" s="43" t="str">
        <v/>
      </c>
      <c r="W44" s="43" t="str">
        <v/>
      </c>
      <c r="X44" s="13" t="str">
        <v>P</v>
      </c>
      <c r="Y44" s="13" t="str">
        <v>P</v>
      </c>
      <c r="Z44" s="13" t="str">
        <v>P</v>
      </c>
      <c r="AA44" s="13" t="str">
        <v>P</v>
      </c>
      <c r="AB44" s="13" t="str">
        <v>P</v>
      </c>
      <c r="AC44" s="43" t="str">
        <v/>
      </c>
      <c r="AD44" s="43" t="str">
        <v/>
      </c>
      <c r="AE44" s="13" t="str">
        <v>P</v>
      </c>
      <c r="AF44" s="13" t="str">
        <v>P</v>
      </c>
      <c r="AG44" s="13" t="str">
        <v>P</v>
      </c>
      <c r="AH44" s="13" t="str">
        <v>P</v>
      </c>
      <c r="AI44" s="13" t="str">
        <v>P</v>
      </c>
      <c r="AJ44" s="43" t="str">
        <v/>
      </c>
    </row>
    <row r="45">
      <c r="A45" s="23" t="str">
        <v>FICTICIO-040</v>
      </c>
      <c r="B45" s="23" t="str">
        <v>SIM-040</v>
      </c>
      <c r="C45" s="24" t="str">
        <v>PERSONA SIMULADA 40</v>
      </c>
      <c r="D45" s="24" t="str">
        <v>L-V 08:00-17:00</v>
      </c>
      <c r="E45" s="23" t="str">
        <v>CC-PROD — Producción</v>
      </c>
      <c r="F45" s="42" t="str">
        <v>P</v>
      </c>
      <c r="G45" s="25" t="str">
        <v>P</v>
      </c>
      <c r="H45" s="43" t="str">
        <v/>
      </c>
      <c r="I45" s="43" t="str">
        <v/>
      </c>
      <c r="J45" s="25" t="str">
        <v>P</v>
      </c>
      <c r="K45" s="25" t="str">
        <v>P</v>
      </c>
      <c r="L45" s="25" t="str">
        <v>P</v>
      </c>
      <c r="M45" s="25" t="str">
        <v>P</v>
      </c>
      <c r="N45" s="25" t="str">
        <v>P</v>
      </c>
      <c r="O45" s="43" t="str">
        <v/>
      </c>
      <c r="P45" s="43" t="str">
        <v/>
      </c>
      <c r="Q45" s="25" t="str">
        <v>P</v>
      </c>
      <c r="R45" s="25" t="str">
        <v>P</v>
      </c>
      <c r="S45" s="25" t="str">
        <v>P</v>
      </c>
      <c r="T45" s="25" t="str">
        <v>P</v>
      </c>
      <c r="U45" s="25" t="str">
        <v>P</v>
      </c>
      <c r="V45" s="43" t="str">
        <v/>
      </c>
      <c r="W45" s="43" t="str">
        <v/>
      </c>
      <c r="X45" s="25" t="str">
        <v>P</v>
      </c>
      <c r="Y45" s="25" t="str">
        <v>P</v>
      </c>
      <c r="Z45" s="25" t="str">
        <v>P</v>
      </c>
      <c r="AA45" s="25" t="str">
        <v>P</v>
      </c>
      <c r="AB45" s="25" t="str">
        <v>P</v>
      </c>
      <c r="AC45" s="43" t="str">
        <v/>
      </c>
      <c r="AD45" s="43" t="str">
        <v/>
      </c>
      <c r="AE45" s="25" t="str">
        <v>P</v>
      </c>
      <c r="AF45" s="25" t="str">
        <v>P</v>
      </c>
      <c r="AG45" s="25" t="str">
        <v>P</v>
      </c>
      <c r="AH45" s="25" t="str">
        <v>P</v>
      </c>
      <c r="AI45" s="25" t="str">
        <v>P</v>
      </c>
      <c r="AJ45" s="43" t="str">
        <v/>
      </c>
    </row>
    <row r="46">
      <c r="A46" s="11" t="str">
        <v>FICTICIO-041</v>
      </c>
      <c r="B46" s="11" t="str">
        <v>SIM-041</v>
      </c>
      <c r="C46" s="12" t="str">
        <v>PERSONA SIMULADA 41</v>
      </c>
      <c r="D46" s="12" t="str">
        <v>L-V 08:30-17:30</v>
      </c>
      <c r="E46" s="11" t="str">
        <v>CC-ADM — Administración</v>
      </c>
      <c r="F46" s="42" t="str">
        <v>P</v>
      </c>
      <c r="G46" s="13" t="str">
        <v>P</v>
      </c>
      <c r="H46" s="43" t="str">
        <v/>
      </c>
      <c r="I46" s="43" t="str">
        <v/>
      </c>
      <c r="J46" s="13" t="str">
        <v>P</v>
      </c>
      <c r="K46" s="13" t="str">
        <v>P</v>
      </c>
      <c r="L46" s="13" t="str">
        <v>P</v>
      </c>
      <c r="M46" s="13" t="str">
        <v>P</v>
      </c>
      <c r="N46" s="13" t="str">
        <v>P</v>
      </c>
      <c r="O46" s="43" t="str">
        <v/>
      </c>
      <c r="P46" s="43" t="str">
        <v/>
      </c>
      <c r="Q46" s="13" t="str">
        <v>P</v>
      </c>
      <c r="R46" s="13" t="str">
        <v>P</v>
      </c>
      <c r="S46" s="13" t="str">
        <v>P</v>
      </c>
      <c r="T46" s="13" t="str">
        <v>P</v>
      </c>
      <c r="U46" s="13" t="str">
        <v>P</v>
      </c>
      <c r="V46" s="43" t="str">
        <v/>
      </c>
      <c r="W46" s="43" t="str">
        <v/>
      </c>
      <c r="X46" s="13" t="str">
        <v>P</v>
      </c>
      <c r="Y46" s="13" t="str">
        <v>P</v>
      </c>
      <c r="Z46" s="13" t="str">
        <v>P</v>
      </c>
      <c r="AA46" s="13" t="str">
        <v>P</v>
      </c>
      <c r="AB46" s="13" t="str">
        <v>P</v>
      </c>
      <c r="AC46" s="43" t="str">
        <v/>
      </c>
      <c r="AD46" s="43" t="str">
        <v/>
      </c>
      <c r="AE46" s="13" t="str">
        <v>P</v>
      </c>
      <c r="AF46" s="13" t="str">
        <v>P</v>
      </c>
      <c r="AG46" s="13" t="str">
        <v>P</v>
      </c>
      <c r="AH46" s="13" t="str">
        <v>P</v>
      </c>
      <c r="AI46" s="13" t="str">
        <v>P</v>
      </c>
      <c r="AJ46" s="43" t="str">
        <v/>
      </c>
    </row>
    <row r="47">
      <c r="A47" s="23" t="str">
        <v>FICTICIO-042</v>
      </c>
      <c r="B47" s="23" t="str">
        <v>SIM-042</v>
      </c>
      <c r="C47" s="24" t="str">
        <v>PERSONA SIMULADA 42</v>
      </c>
      <c r="D47" s="24" t="str">
        <v>L-V 08:00-17:00</v>
      </c>
      <c r="E47" s="23" t="str">
        <v>CC-INST — Instalaciones</v>
      </c>
      <c r="F47" s="42" t="str">
        <v>P</v>
      </c>
      <c r="G47" s="25" t="str">
        <v>P</v>
      </c>
      <c r="H47" s="43" t="str">
        <v/>
      </c>
      <c r="I47" s="43" t="str">
        <v/>
      </c>
      <c r="J47" s="25" t="str">
        <v>P</v>
      </c>
      <c r="K47" s="25" t="str">
        <v>P</v>
      </c>
      <c r="L47" s="25" t="str">
        <v>P</v>
      </c>
      <c r="M47" s="25" t="str">
        <v>P</v>
      </c>
      <c r="N47" s="25" t="str">
        <v>P</v>
      </c>
      <c r="O47" s="43" t="str">
        <v/>
      </c>
      <c r="P47" s="43" t="str">
        <v/>
      </c>
      <c r="Q47" s="25" t="str">
        <v>P</v>
      </c>
      <c r="R47" s="25" t="str">
        <v>P</v>
      </c>
      <c r="S47" s="25" t="str">
        <v>P</v>
      </c>
      <c r="T47" s="25" t="str">
        <v>P</v>
      </c>
      <c r="U47" s="25" t="str">
        <v>P</v>
      </c>
      <c r="V47" s="43" t="str">
        <v/>
      </c>
      <c r="W47" s="43" t="str">
        <v/>
      </c>
      <c r="X47" s="25" t="str">
        <v>P</v>
      </c>
      <c r="Y47" s="25" t="str">
        <v>P</v>
      </c>
      <c r="Z47" s="25" t="str">
        <v>P</v>
      </c>
      <c r="AA47" s="25" t="str">
        <v>P</v>
      </c>
      <c r="AB47" s="25" t="str">
        <v>P</v>
      </c>
      <c r="AC47" s="43" t="str">
        <v/>
      </c>
      <c r="AD47" s="43" t="str">
        <v/>
      </c>
      <c r="AE47" s="25" t="str">
        <v>P</v>
      </c>
      <c r="AF47" s="25" t="str">
        <v>P</v>
      </c>
      <c r="AG47" s="25" t="str">
        <v>P</v>
      </c>
      <c r="AH47" s="25" t="str">
        <v>P</v>
      </c>
      <c r="AI47" s="25" t="str">
        <v>P</v>
      </c>
      <c r="AJ47" s="43" t="str">
        <v/>
      </c>
    </row>
    <row r="48">
      <c r="A48" s="11" t="str">
        <v>FICTICIO-043</v>
      </c>
      <c r="B48" s="11" t="str">
        <v>SIM-043</v>
      </c>
      <c r="C48" s="12" t="str">
        <v>PERSONA SIMULADA 43</v>
      </c>
      <c r="D48" s="12" t="str">
        <v>L-V 08:00-17:00</v>
      </c>
      <c r="E48" s="11" t="str">
        <v>CC-PROD — Producción</v>
      </c>
      <c r="F48" s="42" t="str">
        <v>P</v>
      </c>
      <c r="G48" s="13" t="str">
        <v>P</v>
      </c>
      <c r="H48" s="43" t="str">
        <v/>
      </c>
      <c r="I48" s="43" t="str">
        <v/>
      </c>
      <c r="J48" s="13" t="str">
        <v>P</v>
      </c>
      <c r="K48" s="13" t="str">
        <v>P</v>
      </c>
      <c r="L48" s="13" t="str">
        <v>P</v>
      </c>
      <c r="M48" s="13" t="str">
        <v>P</v>
      </c>
      <c r="N48" s="13" t="str">
        <v>P</v>
      </c>
      <c r="O48" s="43" t="str">
        <v/>
      </c>
      <c r="P48" s="43" t="str">
        <v/>
      </c>
      <c r="Q48" s="13" t="str">
        <v>P</v>
      </c>
      <c r="R48" s="13" t="str">
        <v>P</v>
      </c>
      <c r="S48" s="13" t="str">
        <v>P</v>
      </c>
      <c r="T48" s="13" t="str">
        <v>P</v>
      </c>
      <c r="U48" s="13" t="str">
        <v>P</v>
      </c>
      <c r="V48" s="43" t="str">
        <v/>
      </c>
      <c r="W48" s="43" t="str">
        <v/>
      </c>
      <c r="X48" s="13" t="str">
        <v>P</v>
      </c>
      <c r="Y48" s="13" t="str">
        <v>P</v>
      </c>
      <c r="Z48" s="13" t="str">
        <v>P</v>
      </c>
      <c r="AA48" s="13" t="str">
        <v>P</v>
      </c>
      <c r="AB48" s="13" t="str">
        <v>P</v>
      </c>
      <c r="AC48" s="43" t="str">
        <v/>
      </c>
      <c r="AD48" s="43" t="str">
        <v/>
      </c>
      <c r="AE48" s="13" t="str">
        <v>P</v>
      </c>
      <c r="AF48" s="13" t="str">
        <v>P</v>
      </c>
      <c r="AG48" s="13" t="str">
        <v>P</v>
      </c>
      <c r="AH48" s="13" t="str">
        <v>P</v>
      </c>
      <c r="AI48" s="13" t="str">
        <v>P</v>
      </c>
      <c r="AJ48" s="43" t="str">
        <v/>
      </c>
    </row>
    <row r="49">
      <c r="A49" s="23" t="str">
        <v>FICTICIO-044</v>
      </c>
      <c r="B49" s="23" t="str">
        <v>SIM-044</v>
      </c>
      <c r="C49" s="24" t="str">
        <v>PERSONA SIMULADA 44</v>
      </c>
      <c r="D49" s="24" t="str">
        <v>L-V 08:30-17:30</v>
      </c>
      <c r="E49" s="23" t="str">
        <v>CC-ADM — Administración</v>
      </c>
      <c r="F49" s="42" t="str">
        <v>P</v>
      </c>
      <c r="G49" s="25" t="str">
        <v>P</v>
      </c>
      <c r="H49" s="43" t="str">
        <v/>
      </c>
      <c r="I49" s="43" t="str">
        <v/>
      </c>
      <c r="J49" s="25" t="str">
        <v>P</v>
      </c>
      <c r="K49" s="25" t="str">
        <v>P</v>
      </c>
      <c r="L49" s="25" t="str">
        <v>P</v>
      </c>
      <c r="M49" s="25" t="str">
        <v>P</v>
      </c>
      <c r="N49" s="25" t="str">
        <v>P</v>
      </c>
      <c r="O49" s="43" t="str">
        <v/>
      </c>
      <c r="P49" s="43" t="str">
        <v/>
      </c>
      <c r="Q49" s="25" t="str">
        <v>P</v>
      </c>
      <c r="R49" s="25" t="str">
        <v>P</v>
      </c>
      <c r="S49" s="25" t="str">
        <v>P</v>
      </c>
      <c r="T49" s="25" t="str">
        <v>P</v>
      </c>
      <c r="U49" s="25" t="str">
        <v>P</v>
      </c>
      <c r="V49" s="43" t="str">
        <v/>
      </c>
      <c r="W49" s="43" t="str">
        <v/>
      </c>
      <c r="X49" s="25" t="str">
        <v>P</v>
      </c>
      <c r="Y49" s="25" t="str">
        <v>P</v>
      </c>
      <c r="Z49" s="25" t="str">
        <v>P</v>
      </c>
      <c r="AA49" s="25" t="str">
        <v>P</v>
      </c>
      <c r="AB49" s="25" t="str">
        <v>P</v>
      </c>
      <c r="AC49" s="43" t="str">
        <v/>
      </c>
      <c r="AD49" s="43" t="str">
        <v/>
      </c>
      <c r="AE49" s="25" t="str">
        <v>P</v>
      </c>
      <c r="AF49" s="25" t="str">
        <v>P</v>
      </c>
      <c r="AG49" s="25" t="str">
        <v>P</v>
      </c>
      <c r="AH49" s="25" t="str">
        <v>P</v>
      </c>
      <c r="AI49" s="25" t="str">
        <v>P</v>
      </c>
      <c r="AJ49" s="43" t="str">
        <v/>
      </c>
    </row>
    <row r="50">
      <c r="A50" s="11" t="str">
        <v>FICTICIO-045</v>
      </c>
      <c r="B50" s="11" t="str">
        <v>SIM-045</v>
      </c>
      <c r="C50" s="12" t="str">
        <v>PERSONA SIMULADA 45</v>
      </c>
      <c r="D50" s="12" t="str">
        <v>L-V 08:00-17:00</v>
      </c>
      <c r="E50" s="11" t="str">
        <v>CC-INST — Instalaciones</v>
      </c>
      <c r="F50" s="42" t="str">
        <v>P</v>
      </c>
      <c r="G50" s="13" t="str">
        <v>P</v>
      </c>
      <c r="H50" s="43" t="str">
        <v/>
      </c>
      <c r="I50" s="43" t="str">
        <v/>
      </c>
      <c r="J50" s="13" t="str">
        <v>P</v>
      </c>
      <c r="K50" s="13" t="str">
        <v>P</v>
      </c>
      <c r="L50" s="13" t="str">
        <v>P</v>
      </c>
      <c r="M50" s="13" t="str">
        <v>P</v>
      </c>
      <c r="N50" s="13" t="str">
        <v>P</v>
      </c>
      <c r="O50" s="43" t="str">
        <v/>
      </c>
      <c r="P50" s="43" t="str">
        <v/>
      </c>
      <c r="Q50" s="13" t="str">
        <v>P</v>
      </c>
      <c r="R50" s="13" t="str">
        <v>P</v>
      </c>
      <c r="S50" s="13" t="str">
        <v>P</v>
      </c>
      <c r="T50" s="13" t="str">
        <v>P</v>
      </c>
      <c r="U50" s="13" t="str">
        <v>P</v>
      </c>
      <c r="V50" s="43" t="str">
        <v/>
      </c>
      <c r="W50" s="43" t="str">
        <v/>
      </c>
      <c r="X50" s="13" t="str">
        <v>P</v>
      </c>
      <c r="Y50" s="13" t="str">
        <v>P</v>
      </c>
      <c r="Z50" s="13" t="str">
        <v>P</v>
      </c>
      <c r="AA50" s="13" t="str">
        <v>P</v>
      </c>
      <c r="AB50" s="13" t="str">
        <v>P</v>
      </c>
      <c r="AC50" s="43" t="str">
        <v/>
      </c>
      <c r="AD50" s="43" t="str">
        <v/>
      </c>
      <c r="AE50" s="13" t="str">
        <v>P</v>
      </c>
      <c r="AF50" s="13" t="str">
        <v>P</v>
      </c>
      <c r="AG50" s="13" t="str">
        <v>P</v>
      </c>
      <c r="AH50" s="13" t="str">
        <v>P</v>
      </c>
      <c r="AI50" s="13" t="str">
        <v>P</v>
      </c>
      <c r="AJ50" s="43" t="str">
        <v/>
      </c>
    </row>
    <row r="51">
      <c r="A51" s="23" t="str">
        <v>FICTICIO-046</v>
      </c>
      <c r="B51" s="23" t="str">
        <v>SIM-046</v>
      </c>
      <c r="C51" s="24" t="str">
        <v>PERSONA SIMULADA 46</v>
      </c>
      <c r="D51" s="24" t="str">
        <v>L-V 08:00-17:00</v>
      </c>
      <c r="E51" s="23" t="str">
        <v>CC-PROD — Producción</v>
      </c>
      <c r="F51" s="42" t="str">
        <v>P</v>
      </c>
      <c r="G51" s="25" t="str">
        <v>P</v>
      </c>
      <c r="H51" s="43" t="str">
        <v/>
      </c>
      <c r="I51" s="43" t="str">
        <v/>
      </c>
      <c r="J51" s="25" t="str">
        <v>P</v>
      </c>
      <c r="K51" s="25" t="str">
        <v>P</v>
      </c>
      <c r="L51" s="25" t="str">
        <v>P</v>
      </c>
      <c r="M51" s="25" t="str">
        <v>P</v>
      </c>
      <c r="N51" s="25" t="str">
        <v>P</v>
      </c>
      <c r="O51" s="43" t="str">
        <v/>
      </c>
      <c r="P51" s="43" t="str">
        <v/>
      </c>
      <c r="Q51" s="25" t="str">
        <v>P</v>
      </c>
      <c r="R51" s="25" t="str">
        <v>P</v>
      </c>
      <c r="S51" s="25" t="str">
        <v>P</v>
      </c>
      <c r="T51" s="25" t="str">
        <v>P</v>
      </c>
      <c r="U51" s="25" t="str">
        <v>P</v>
      </c>
      <c r="V51" s="43" t="str">
        <v/>
      </c>
      <c r="W51" s="43" t="str">
        <v/>
      </c>
      <c r="X51" s="25" t="str">
        <v>P</v>
      </c>
      <c r="Y51" s="25" t="str">
        <v>P</v>
      </c>
      <c r="Z51" s="25" t="str">
        <v>P</v>
      </c>
      <c r="AA51" s="25" t="str">
        <v>P</v>
      </c>
      <c r="AB51" s="25" t="str">
        <v>P</v>
      </c>
      <c r="AC51" s="43" t="str">
        <v/>
      </c>
      <c r="AD51" s="43" t="str">
        <v/>
      </c>
      <c r="AE51" s="25" t="str">
        <v>P</v>
      </c>
      <c r="AF51" s="25" t="str">
        <v>P</v>
      </c>
      <c r="AG51" s="25" t="str">
        <v>P</v>
      </c>
      <c r="AH51" s="25" t="str">
        <v>P</v>
      </c>
      <c r="AI51" s="25" t="str">
        <v>P</v>
      </c>
      <c r="AJ51" s="43" t="str">
        <v/>
      </c>
    </row>
    <row r="52">
      <c r="A52" s="11" t="str">
        <v>FICTICIO-047</v>
      </c>
      <c r="B52" s="11" t="str">
        <v>SIM-047</v>
      </c>
      <c r="C52" s="12" t="str">
        <v>PERSONA SIMULADA 47</v>
      </c>
      <c r="D52" s="12" t="str">
        <v>L-V 08:30-17:30</v>
      </c>
      <c r="E52" s="11" t="str">
        <v>CC-ADM — Administración</v>
      </c>
      <c r="F52" s="42" t="str">
        <v>P</v>
      </c>
      <c r="G52" s="13" t="str">
        <v>P</v>
      </c>
      <c r="H52" s="43" t="str">
        <v/>
      </c>
      <c r="I52" s="43" t="str">
        <v/>
      </c>
      <c r="J52" s="13" t="str">
        <v>P</v>
      </c>
      <c r="K52" s="13" t="str">
        <v>P</v>
      </c>
      <c r="L52" s="13" t="str">
        <v>P</v>
      </c>
      <c r="M52" s="13" t="str">
        <v>P</v>
      </c>
      <c r="N52" s="13" t="str">
        <v>P</v>
      </c>
      <c r="O52" s="43" t="str">
        <v/>
      </c>
      <c r="P52" s="43" t="str">
        <v/>
      </c>
      <c r="Q52" s="13" t="str">
        <v>P</v>
      </c>
      <c r="R52" s="13" t="str">
        <v>P</v>
      </c>
      <c r="S52" s="13" t="str">
        <v>P</v>
      </c>
      <c r="T52" s="13" t="str">
        <v>P</v>
      </c>
      <c r="U52" s="13" t="str">
        <v>P</v>
      </c>
      <c r="V52" s="43" t="str">
        <v/>
      </c>
      <c r="W52" s="43" t="str">
        <v/>
      </c>
      <c r="X52" s="13" t="str">
        <v>P</v>
      </c>
      <c r="Y52" s="13" t="str">
        <v>P</v>
      </c>
      <c r="Z52" s="13" t="str">
        <v>P</v>
      </c>
      <c r="AA52" s="13" t="str">
        <v>P</v>
      </c>
      <c r="AB52" s="13" t="str">
        <v>P</v>
      </c>
      <c r="AC52" s="43" t="str">
        <v/>
      </c>
      <c r="AD52" s="43" t="str">
        <v/>
      </c>
      <c r="AE52" s="13" t="str">
        <v>P</v>
      </c>
      <c r="AF52" s="13" t="str">
        <v>P</v>
      </c>
      <c r="AG52" s="13" t="str">
        <v>P</v>
      </c>
      <c r="AH52" s="13" t="str">
        <v>P</v>
      </c>
      <c r="AI52" s="13" t="str">
        <v>P</v>
      </c>
      <c r="AJ52" s="43" t="str">
        <v/>
      </c>
    </row>
    <row r="53">
      <c r="A53" s="23" t="str">
        <v>FICTICIO-048</v>
      </c>
      <c r="B53" s="23" t="str">
        <v>SIM-048</v>
      </c>
      <c r="C53" s="24" t="str">
        <v>PERSONA SIMULADA 48</v>
      </c>
      <c r="D53" s="24" t="str">
        <v>L-V 08:00-17:00</v>
      </c>
      <c r="E53" s="23" t="str">
        <v>CC-INST — Instalaciones</v>
      </c>
      <c r="F53" s="42" t="str">
        <v>P</v>
      </c>
      <c r="G53" s="25" t="str">
        <v>P</v>
      </c>
      <c r="H53" s="43" t="str">
        <v/>
      </c>
      <c r="I53" s="43" t="str">
        <v/>
      </c>
      <c r="J53" s="25" t="str">
        <v>P</v>
      </c>
      <c r="K53" s="25" t="str">
        <v>P</v>
      </c>
      <c r="L53" s="25" t="str">
        <v>P</v>
      </c>
      <c r="M53" s="25" t="str">
        <v>P</v>
      </c>
      <c r="N53" s="25" t="str">
        <v>P</v>
      </c>
      <c r="O53" s="43" t="str">
        <v/>
      </c>
      <c r="P53" s="43" t="str">
        <v/>
      </c>
      <c r="Q53" s="25" t="str">
        <v>P</v>
      </c>
      <c r="R53" s="25" t="str">
        <v>P</v>
      </c>
      <c r="S53" s="25" t="str">
        <v>P</v>
      </c>
      <c r="T53" s="25" t="str">
        <v>P</v>
      </c>
      <c r="U53" s="25" t="str">
        <v>P</v>
      </c>
      <c r="V53" s="43" t="str">
        <v/>
      </c>
      <c r="W53" s="43" t="str">
        <v/>
      </c>
      <c r="X53" s="25" t="str">
        <v>P</v>
      </c>
      <c r="Y53" s="25" t="str">
        <v>P</v>
      </c>
      <c r="Z53" s="25" t="str">
        <v>P</v>
      </c>
      <c r="AA53" s="25" t="str">
        <v>P</v>
      </c>
      <c r="AB53" s="25" t="str">
        <v>P</v>
      </c>
      <c r="AC53" s="43" t="str">
        <v/>
      </c>
      <c r="AD53" s="43" t="str">
        <v/>
      </c>
      <c r="AE53" s="25" t="str">
        <v>P</v>
      </c>
      <c r="AF53" s="25" t="str">
        <v>P</v>
      </c>
      <c r="AG53" s="25" t="str">
        <v>P</v>
      </c>
      <c r="AH53" s="25" t="str">
        <v>P</v>
      </c>
      <c r="AI53" s="25" t="str">
        <v>P</v>
      </c>
      <c r="AJ53" s="43" t="str">
        <v/>
      </c>
    </row>
    <row r="54">
      <c r="A54" s="11" t="str">
        <v>FICTICIO-049</v>
      </c>
      <c r="B54" s="11" t="str">
        <v>SIM-049</v>
      </c>
      <c r="C54" s="12" t="str">
        <v>PERSONA SIMULADA 49</v>
      </c>
      <c r="D54" s="12" t="str">
        <v>L-V 08:00-17:00</v>
      </c>
      <c r="E54" s="11" t="str">
        <v>CC-PROD — Producción</v>
      </c>
      <c r="F54" s="42" t="str">
        <v>P</v>
      </c>
      <c r="G54" s="13" t="str">
        <v>P</v>
      </c>
      <c r="H54" s="43" t="str">
        <v/>
      </c>
      <c r="I54" s="43" t="str">
        <v/>
      </c>
      <c r="J54" s="13" t="str">
        <v>P</v>
      </c>
      <c r="K54" s="13" t="str">
        <v>P</v>
      </c>
      <c r="L54" s="13" t="str">
        <v>P</v>
      </c>
      <c r="M54" s="13" t="str">
        <v>P</v>
      </c>
      <c r="N54" s="13" t="str">
        <v>P</v>
      </c>
      <c r="O54" s="43" t="str">
        <v/>
      </c>
      <c r="P54" s="43" t="str">
        <v/>
      </c>
      <c r="Q54" s="13" t="str">
        <v>P</v>
      </c>
      <c r="R54" s="13" t="str">
        <v>P</v>
      </c>
      <c r="S54" s="13" t="str">
        <v>P</v>
      </c>
      <c r="T54" s="13" t="str">
        <v>P</v>
      </c>
      <c r="U54" s="13" t="str">
        <v>P</v>
      </c>
      <c r="V54" s="43" t="str">
        <v/>
      </c>
      <c r="W54" s="43" t="str">
        <v/>
      </c>
      <c r="X54" s="13" t="str">
        <v>P</v>
      </c>
      <c r="Y54" s="13" t="str">
        <v>P</v>
      </c>
      <c r="Z54" s="13" t="str">
        <v>P</v>
      </c>
      <c r="AA54" s="13" t="str">
        <v>P</v>
      </c>
      <c r="AB54" s="13" t="str">
        <v>P</v>
      </c>
      <c r="AC54" s="43" t="str">
        <v/>
      </c>
      <c r="AD54" s="43" t="str">
        <v/>
      </c>
      <c r="AE54" s="13" t="str">
        <v>P</v>
      </c>
      <c r="AF54" s="13" t="str">
        <v>P</v>
      </c>
      <c r="AG54" s="13" t="str">
        <v>P</v>
      </c>
      <c r="AH54" s="13" t="str">
        <v>P</v>
      </c>
      <c r="AI54" s="13" t="str">
        <v>P</v>
      </c>
      <c r="AJ54" s="43" t="str">
        <v/>
      </c>
    </row>
    <row r="55">
      <c r="A55" s="23" t="str">
        <v>FICTICIO-050</v>
      </c>
      <c r="B55" s="23" t="str">
        <v>SIM-050</v>
      </c>
      <c r="C55" s="24" t="str">
        <v>PERSONA SIMULADA 50</v>
      </c>
      <c r="D55" s="24" t="str">
        <v>L-V 08:30-17:30</v>
      </c>
      <c r="E55" s="23" t="str">
        <v>CC-ADM — Administración</v>
      </c>
      <c r="F55" s="42" t="str">
        <v>P</v>
      </c>
      <c r="G55" s="25" t="str">
        <v>P</v>
      </c>
      <c r="H55" s="43" t="str">
        <v/>
      </c>
      <c r="I55" s="43" t="str">
        <v/>
      </c>
      <c r="J55" s="25" t="str">
        <v>P</v>
      </c>
      <c r="K55" s="25" t="str">
        <v>P</v>
      </c>
      <c r="L55" s="25" t="str">
        <v>P</v>
      </c>
      <c r="M55" s="25" t="str">
        <v>P</v>
      </c>
      <c r="N55" s="25" t="str">
        <v>P</v>
      </c>
      <c r="O55" s="43" t="str">
        <v/>
      </c>
      <c r="P55" s="43" t="str">
        <v/>
      </c>
      <c r="Q55" s="25" t="str">
        <v>P</v>
      </c>
      <c r="R55" s="25" t="str">
        <v>P</v>
      </c>
      <c r="S55" s="25" t="str">
        <v>P</v>
      </c>
      <c r="T55" s="25" t="str">
        <v>P</v>
      </c>
      <c r="U55" s="25" t="str">
        <v>P</v>
      </c>
      <c r="V55" s="43" t="str">
        <v/>
      </c>
      <c r="W55" s="43" t="str">
        <v/>
      </c>
      <c r="X55" s="25" t="str">
        <v>P</v>
      </c>
      <c r="Y55" s="25" t="str">
        <v>P</v>
      </c>
      <c r="Z55" s="25" t="str">
        <v>P</v>
      </c>
      <c r="AA55" s="25" t="str">
        <v>P</v>
      </c>
      <c r="AB55" s="25" t="str">
        <v>P</v>
      </c>
      <c r="AC55" s="43" t="str">
        <v/>
      </c>
      <c r="AD55" s="43" t="str">
        <v/>
      </c>
      <c r="AE55" s="25" t="str">
        <v>P</v>
      </c>
      <c r="AF55" s="25" t="str">
        <v>P</v>
      </c>
      <c r="AG55" s="25" t="str">
        <v>P</v>
      </c>
      <c r="AH55" s="25" t="str">
        <v>P</v>
      </c>
      <c r="AI55" s="25" t="str">
        <v>P</v>
      </c>
      <c r="AJ55" s="43" t="str">
        <v/>
      </c>
    </row>
    <row r="56">
      <c r="A56" s="11" t="str">
        <v>FICTICIO-051</v>
      </c>
      <c r="B56" s="11" t="str">
        <v>SIM-051</v>
      </c>
      <c r="C56" s="12" t="str">
        <v>PERSONA SIMULADA 51</v>
      </c>
      <c r="D56" s="12" t="str">
        <v>L-V 08:00-17:00</v>
      </c>
      <c r="E56" s="11" t="str">
        <v>CC-INST — Instalaciones</v>
      </c>
      <c r="F56" s="42" t="str">
        <v>P</v>
      </c>
      <c r="G56" s="13" t="str">
        <v>P</v>
      </c>
      <c r="H56" s="43" t="str">
        <v/>
      </c>
      <c r="I56" s="43" t="str">
        <v/>
      </c>
      <c r="J56" s="13" t="str">
        <v>P</v>
      </c>
      <c r="K56" s="13" t="str">
        <v>P</v>
      </c>
      <c r="L56" s="13" t="str">
        <v>P</v>
      </c>
      <c r="M56" s="13" t="str">
        <v>P</v>
      </c>
      <c r="N56" s="13" t="str">
        <v>P</v>
      </c>
      <c r="O56" s="43" t="str">
        <v/>
      </c>
      <c r="P56" s="43" t="str">
        <v/>
      </c>
      <c r="Q56" s="13" t="str">
        <v>P</v>
      </c>
      <c r="R56" s="13" t="str">
        <v>P</v>
      </c>
      <c r="S56" s="13" t="str">
        <v>P</v>
      </c>
      <c r="T56" s="13" t="str">
        <v>P</v>
      </c>
      <c r="U56" s="13" t="str">
        <v>P</v>
      </c>
      <c r="V56" s="43" t="str">
        <v/>
      </c>
      <c r="W56" s="43" t="str">
        <v/>
      </c>
      <c r="X56" s="13" t="str">
        <v>P</v>
      </c>
      <c r="Y56" s="13" t="str">
        <v>P</v>
      </c>
      <c r="Z56" s="13" t="str">
        <v>P</v>
      </c>
      <c r="AA56" s="13" t="str">
        <v>P</v>
      </c>
      <c r="AB56" s="13" t="str">
        <v>P</v>
      </c>
      <c r="AC56" s="43" t="str">
        <v/>
      </c>
      <c r="AD56" s="43" t="str">
        <v/>
      </c>
      <c r="AE56" s="13" t="str">
        <v>P</v>
      </c>
      <c r="AF56" s="13" t="str">
        <v>P</v>
      </c>
      <c r="AG56" s="13" t="str">
        <v>P</v>
      </c>
      <c r="AH56" s="13" t="str">
        <v>P</v>
      </c>
      <c r="AI56" s="13" t="str">
        <v>P</v>
      </c>
      <c r="AJ56" s="43" t="str">
        <v/>
      </c>
    </row>
    <row r="57">
      <c r="A57" s="23" t="str">
        <v>FICTICIO-052</v>
      </c>
      <c r="B57" s="23" t="str">
        <v>SIM-052</v>
      </c>
      <c r="C57" s="24" t="str">
        <v>PERSONA SIMULADA 52</v>
      </c>
      <c r="D57" s="24" t="str">
        <v>L-V 08:00-17:00</v>
      </c>
      <c r="E57" s="23" t="str">
        <v>CC-PROD — Producción</v>
      </c>
      <c r="F57" s="42" t="str">
        <v>P</v>
      </c>
      <c r="G57" s="25" t="str">
        <v>P</v>
      </c>
      <c r="H57" s="43" t="str">
        <v/>
      </c>
      <c r="I57" s="43" t="str">
        <v/>
      </c>
      <c r="J57" s="25" t="str">
        <v>P</v>
      </c>
      <c r="K57" s="25" t="str">
        <v>P</v>
      </c>
      <c r="L57" s="25" t="str">
        <v>P</v>
      </c>
      <c r="M57" s="25" t="str">
        <v>P</v>
      </c>
      <c r="N57" s="25" t="str">
        <v>P</v>
      </c>
      <c r="O57" s="43" t="str">
        <v/>
      </c>
      <c r="P57" s="43" t="str">
        <v/>
      </c>
      <c r="Q57" s="25" t="str">
        <v>P</v>
      </c>
      <c r="R57" s="25" t="str">
        <v>P</v>
      </c>
      <c r="S57" s="25" t="str">
        <v>P</v>
      </c>
      <c r="T57" s="25" t="str">
        <v>P</v>
      </c>
      <c r="U57" s="25" t="str">
        <v>P</v>
      </c>
      <c r="V57" s="43" t="str">
        <v/>
      </c>
      <c r="W57" s="43" t="str">
        <v/>
      </c>
      <c r="X57" s="25" t="str">
        <v>P</v>
      </c>
      <c r="Y57" s="25" t="str">
        <v>P</v>
      </c>
      <c r="Z57" s="25" t="str">
        <v>P</v>
      </c>
      <c r="AA57" s="25" t="str">
        <v>P</v>
      </c>
      <c r="AB57" s="25" t="str">
        <v>P</v>
      </c>
      <c r="AC57" s="43" t="str">
        <v/>
      </c>
      <c r="AD57" s="43" t="str">
        <v/>
      </c>
      <c r="AE57" s="25" t="str">
        <v>P</v>
      </c>
      <c r="AF57" s="25" t="str">
        <v>P</v>
      </c>
      <c r="AG57" s="25" t="str">
        <v>P</v>
      </c>
      <c r="AH57" s="25" t="str">
        <v>P</v>
      </c>
      <c r="AI57" s="25" t="str">
        <v>P</v>
      </c>
      <c r="AJ57" s="43" t="str">
        <v/>
      </c>
    </row>
    <row r="58">
      <c r="A58" s="11" t="str">
        <v>FICTICIO-053</v>
      </c>
      <c r="B58" s="11" t="str">
        <v>SIM-053</v>
      </c>
      <c r="C58" s="12" t="str">
        <v>PERSONA SIMULADA 53</v>
      </c>
      <c r="D58" s="12" t="str">
        <v>L-V 08:30-17:30</v>
      </c>
      <c r="E58" s="11" t="str">
        <v>CC-ADM — Administración</v>
      </c>
      <c r="F58" s="42" t="str">
        <v>P</v>
      </c>
      <c r="G58" s="13" t="str">
        <v>P</v>
      </c>
      <c r="H58" s="43" t="str">
        <v/>
      </c>
      <c r="I58" s="43" t="str">
        <v/>
      </c>
      <c r="J58" s="13" t="str">
        <v>P</v>
      </c>
      <c r="K58" s="13" t="str">
        <v>P</v>
      </c>
      <c r="L58" s="13" t="str">
        <v>P</v>
      </c>
      <c r="M58" s="13" t="str">
        <v>P</v>
      </c>
      <c r="N58" s="13" t="str">
        <v>P</v>
      </c>
      <c r="O58" s="43" t="str">
        <v/>
      </c>
      <c r="P58" s="43" t="str">
        <v/>
      </c>
      <c r="Q58" s="13" t="str">
        <v>P</v>
      </c>
      <c r="R58" s="13" t="str">
        <v>P</v>
      </c>
      <c r="S58" s="13" t="str">
        <v>P</v>
      </c>
      <c r="T58" s="13" t="str">
        <v>P</v>
      </c>
      <c r="U58" s="13" t="str">
        <v>P</v>
      </c>
      <c r="V58" s="43" t="str">
        <v/>
      </c>
      <c r="W58" s="43" t="str">
        <v/>
      </c>
      <c r="X58" s="13" t="str">
        <v>P</v>
      </c>
      <c r="Y58" s="13" t="str">
        <v>P</v>
      </c>
      <c r="Z58" s="13" t="str">
        <v>P</v>
      </c>
      <c r="AA58" s="13" t="str">
        <v>P</v>
      </c>
      <c r="AB58" s="13" t="str">
        <v>P</v>
      </c>
      <c r="AC58" s="43" t="str">
        <v/>
      </c>
      <c r="AD58" s="43" t="str">
        <v/>
      </c>
      <c r="AE58" s="13" t="str">
        <v>P</v>
      </c>
      <c r="AF58" s="13" t="str">
        <v>P</v>
      </c>
      <c r="AG58" s="13" t="str">
        <v>P</v>
      </c>
      <c r="AH58" s="13" t="str">
        <v>P</v>
      </c>
      <c r="AI58" s="13" t="str">
        <v>P</v>
      </c>
      <c r="AJ58" s="43" t="str">
        <v/>
      </c>
    </row>
    <row r="59">
      <c r="A59" s="23" t="str">
        <v>FICTICIO-054</v>
      </c>
      <c r="B59" s="23" t="str">
        <v>SIM-054</v>
      </c>
      <c r="C59" s="24" t="str">
        <v>PERSONA SIMULADA 54</v>
      </c>
      <c r="D59" s="24" t="str">
        <v>L-V 08:00-17:00</v>
      </c>
      <c r="E59" s="23" t="str">
        <v>CC-INST — Instalaciones</v>
      </c>
      <c r="F59" s="42" t="str">
        <v>P</v>
      </c>
      <c r="G59" s="25" t="str">
        <v>P</v>
      </c>
      <c r="H59" s="43" t="str">
        <v/>
      </c>
      <c r="I59" s="43" t="str">
        <v/>
      </c>
      <c r="J59" s="25" t="str">
        <v>P</v>
      </c>
      <c r="K59" s="25" t="str">
        <v>P</v>
      </c>
      <c r="L59" s="25" t="str">
        <v>P</v>
      </c>
      <c r="M59" s="25" t="str">
        <v>P</v>
      </c>
      <c r="N59" s="25" t="str">
        <v>P</v>
      </c>
      <c r="O59" s="43" t="str">
        <v/>
      </c>
      <c r="P59" s="43" t="str">
        <v/>
      </c>
      <c r="Q59" s="25" t="str">
        <v>P</v>
      </c>
      <c r="R59" s="25" t="str">
        <v>P</v>
      </c>
      <c r="S59" s="25" t="str">
        <v>P</v>
      </c>
      <c r="T59" s="25" t="str">
        <v>P</v>
      </c>
      <c r="U59" s="25" t="str">
        <v>P</v>
      </c>
      <c r="V59" s="43" t="str">
        <v/>
      </c>
      <c r="W59" s="43" t="str">
        <v/>
      </c>
      <c r="X59" s="25" t="str">
        <v>P</v>
      </c>
      <c r="Y59" s="25" t="str">
        <v>P</v>
      </c>
      <c r="Z59" s="25" t="str">
        <v>P</v>
      </c>
      <c r="AA59" s="25" t="str">
        <v>P</v>
      </c>
      <c r="AB59" s="25" t="str">
        <v>P</v>
      </c>
      <c r="AC59" s="43" t="str">
        <v/>
      </c>
      <c r="AD59" s="43" t="str">
        <v/>
      </c>
      <c r="AE59" s="25" t="str">
        <v>P</v>
      </c>
      <c r="AF59" s="25" t="str">
        <v>P</v>
      </c>
      <c r="AG59" s="25" t="str">
        <v>P</v>
      </c>
      <c r="AH59" s="25" t="str">
        <v>P</v>
      </c>
      <c r="AI59" s="25" t="str">
        <v>P</v>
      </c>
      <c r="AJ59" s="43" t="str">
        <v/>
      </c>
    </row>
    <row r="60">
      <c r="A60" s="11" t="str">
        <v>FICTICIO-055</v>
      </c>
      <c r="B60" s="11" t="str">
        <v>SIM-055</v>
      </c>
      <c r="C60" s="12" t="str">
        <v>PERSONA SIMULADA 55</v>
      </c>
      <c r="D60" s="12" t="str">
        <v>L-V 08:00-17:00</v>
      </c>
      <c r="E60" s="11" t="str">
        <v>CC-PROD — Producción</v>
      </c>
      <c r="F60" s="42" t="str">
        <v>P</v>
      </c>
      <c r="G60" s="13" t="str">
        <v>P</v>
      </c>
      <c r="H60" s="43" t="str">
        <v/>
      </c>
      <c r="I60" s="43" t="str">
        <v/>
      </c>
      <c r="J60" s="13" t="str">
        <v>P</v>
      </c>
      <c r="K60" s="13" t="str">
        <v>P</v>
      </c>
      <c r="L60" s="13" t="str">
        <v>P</v>
      </c>
      <c r="M60" s="13" t="str">
        <v>P</v>
      </c>
      <c r="N60" s="13" t="str">
        <v>P</v>
      </c>
      <c r="O60" s="43" t="str">
        <v/>
      </c>
      <c r="P60" s="43" t="str">
        <v/>
      </c>
      <c r="Q60" s="13" t="str">
        <v>P</v>
      </c>
      <c r="R60" s="13" t="str">
        <v>P</v>
      </c>
      <c r="S60" s="13" t="str">
        <v>P</v>
      </c>
      <c r="T60" s="13" t="str">
        <v>P</v>
      </c>
      <c r="U60" s="13" t="str">
        <v>P</v>
      </c>
      <c r="V60" s="43" t="str">
        <v/>
      </c>
      <c r="W60" s="43" t="str">
        <v/>
      </c>
      <c r="X60" s="13" t="str">
        <v>P</v>
      </c>
      <c r="Y60" s="13" t="str">
        <v>P</v>
      </c>
      <c r="Z60" s="13" t="str">
        <v>P</v>
      </c>
      <c r="AA60" s="13" t="str">
        <v>P</v>
      </c>
      <c r="AB60" s="13" t="str">
        <v>P</v>
      </c>
      <c r="AC60" s="43" t="str">
        <v/>
      </c>
      <c r="AD60" s="43" t="str">
        <v/>
      </c>
      <c r="AE60" s="13" t="str">
        <v>P</v>
      </c>
      <c r="AF60" s="13" t="str">
        <v>P</v>
      </c>
      <c r="AG60" s="13" t="str">
        <v>P</v>
      </c>
      <c r="AH60" s="13" t="str">
        <v>P</v>
      </c>
      <c r="AI60" s="13" t="str">
        <v>P</v>
      </c>
      <c r="AJ60" s="43" t="str">
        <v/>
      </c>
    </row>
  </sheetData>
  <autoFilter ref="A5:AJ60"/>
  <mergeCells count="4">
    <mergeCell ref="A1:AJ1"/>
    <mergeCell ref="A2:AJ2"/>
    <mergeCell ref="A3:AJ3"/>
    <mergeCell ref="A4:AJ4"/>
  </mergeCells>
  <conditionalFormatting sqref="F6:AJ60">
    <cfRule type="expression" dxfId="11" priority="12">
      <formula>F6="?"</formula>
    </cfRule>
  </conditionalFormatting>
  <conditionalFormatting sqref="F6:AJ60">
    <cfRule type="expression" dxfId="12" priority="13">
      <formula>F6="R"</formula>
    </cfRule>
  </conditionalFormatting>
  <conditionalFormatting sqref="F6:AJ60">
    <cfRule type="expression" dxfId="13" priority="14">
      <formula>F6="F"</formula>
    </cfRule>
  </conditionalFormatting>
  <conditionalFormatting sqref="F6:AJ60">
    <cfRule type="expression" dxfId="14" priority="15">
      <formula>OR(F6="L",F6="L-M")</formula>
    </cfRule>
  </conditionalFormatting>
  <conditionalFormatting sqref="F6:AJ60">
    <cfRule type="expression" dxfId="15" priority="16">
      <formula>F6="V"</formula>
    </cfRule>
  </conditionalFormatting>
  <conditionalFormatting sqref="F6:AJ60">
    <cfRule type="expression" dxfId="16" priority="17">
      <formula>OR(F6="F-P",F6="F-J",F6="P-L",F6="P-M")</formula>
    </cfRule>
  </conditionalFormatting>
  <ignoredErrors>
    <ignoredError numberStoredAsText="1" sqref="A1:AJ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2" t="str">
        <v>Esquema</v>
      </c>
      <c r="B1" s="2" t="str">
        <v>GESTORA_PRENOMINA_2026_V2</v>
      </c>
    </row>
    <row r="2">
      <c r="A2" s="2" t="str">
        <v>Tipo de período</v>
      </c>
      <c r="B2" s="2" t="str">
        <v>PAGO</v>
      </c>
    </row>
    <row r="3">
      <c r="A3" s="2" t="str">
        <v>Inicio</v>
      </c>
      <c r="B3" s="2" t="str">
        <v>2026-07-16</v>
      </c>
    </row>
    <row r="4">
      <c r="A4" s="2" t="str">
        <v>Fin</v>
      </c>
      <c r="B4" s="2" t="str">
        <v>2026-08-15</v>
      </c>
    </row>
    <row r="5">
      <c r="A5" s="2" t="str">
        <v>Mes de remuneración</v>
      </c>
      <c r="B5" s="2" t="str">
        <v>2026-08</v>
      </c>
    </row>
    <row r="6">
      <c r="A6" s="2" t="str">
        <v>Versión base</v>
      </c>
      <c r="B6" s="2" t="str">
        <v>2</v>
      </c>
    </row>
  </sheetData>
  <sheetProtection sheet="1" selectLockedCells="1" selectUnlockedCells="1" password="F5EE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GESTORA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RESUMEN_NOMINA</vt:lpstr>
      <vt:lpstr>CONTROL_PENDIENTES</vt:lpstr>
      <vt:lpstr>MATRIZ_DIARIA_SABANA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Archivo editable de control. El snapshot histórico debe persistirse al cerrar el período.</dc:description>
  <dc:subject>Resumen de pre-nómina, pendientes y respaldo diario 16-15</dc:subject>
  <dc:title>Pre-nómina asistencia Remuneraciones agosto de 2026 · 16 de julio al 15 de agosto de 2026</dc:title>
</cp:coreProperties>
</file>